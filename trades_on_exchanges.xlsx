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 trades" sheetId="1" r:id="rId4"/>
    <sheet state="visible" name="Stock Exchanges" sheetId="2" r:id="rId5"/>
    <sheet state="visible" name="Profit Insights" sheetId="3" r:id="rId6"/>
    <sheet state="visible" name="Number of Trades Exchanged" sheetId="4" r:id="rId7"/>
  </sheets>
  <definedNames>
    <definedName name="_xlchart.v1.6">'Profit Insights'!$B$2:$B$204</definedName>
    <definedName name="_xlchart.v1.3">'Profit Insights'!$K$10</definedName>
    <definedName name="_xlchart.v1.4">'Profit Insights'!$K$10:$L$10</definedName>
    <definedName name="_xlchart.v1.1">'Profit Insights'!$B$2:$B$204</definedName>
    <definedName name="_xlchart.v1.2">'Profit Insights'!$G$10</definedName>
    <definedName name="_xlchart.v1.0">'Profit Insights'!$B$1</definedName>
    <definedName name="_xlchart.v1.5">'Profit Insights'!$B$1</definedName>
    <definedName hidden="1" localSheetId="2" name="_xlnm._FilterDatabase">'Profit Insights'!$A$1:$C$201</definedName>
    <definedName hidden="1" localSheetId="3" name="_xlnm._FilterDatabase">'Number of Trades Exchanged'!$A$1:$A$204</definedName>
  </definedNames>
  <calcPr/>
  <pivotCaches>
    <pivotCache cacheId="0" r:id="rId8"/>
    <pivotCache cacheId="1" r:id="rId9"/>
  </pivotCaches>
  <extLst>
    <ext uri="GoogleSheetsCustomDataVersion2">
      <go:sheetsCustomData xmlns:go="http://customooxmlschemas.google.com/" r:id="rId10" roundtripDataChecksum="iZW935/yZKIEDcdbfTtoYg94p8K5kHDoBlmKqKMiNFM="/>
    </ext>
  </extLst>
</workbook>
</file>

<file path=xl/sharedStrings.xml><?xml version="1.0" encoding="utf-8"?>
<sst xmlns="http://schemas.openxmlformats.org/spreadsheetml/2006/main" count="1271" uniqueCount="265">
  <si>
    <t>Trade</t>
  </si>
  <si>
    <t>Stock exchange</t>
  </si>
  <si>
    <t>Region</t>
  </si>
  <si>
    <t>Date added</t>
  </si>
  <si>
    <t>Quantity</t>
  </si>
  <si>
    <t>Buy Price</t>
  </si>
  <si>
    <t>Date sold</t>
  </si>
  <si>
    <t>Sell Price</t>
  </si>
  <si>
    <t>agfgcfxt</t>
  </si>
  <si>
    <t>Bombay Stock Exchange</t>
  </si>
  <si>
    <t>India</t>
  </si>
  <si>
    <t>aieoltom</t>
  </si>
  <si>
    <t>Tehran Stock Exchange</t>
  </si>
  <si>
    <t>Iran</t>
  </si>
  <si>
    <t>almuieaq</t>
  </si>
  <si>
    <t>National Stock Exchange</t>
  </si>
  <si>
    <t>apxkynfx</t>
  </si>
  <si>
    <t>SIX Swiss Exchange</t>
  </si>
  <si>
    <t>Switzerland</t>
  </si>
  <si>
    <t>bbjeprsq</t>
  </si>
  <si>
    <t>bcizkhng</t>
  </si>
  <si>
    <t>Euronext</t>
  </si>
  <si>
    <t>Europe</t>
  </si>
  <si>
    <t>bdkloegq</t>
  </si>
  <si>
    <t>Korea Exchange</t>
  </si>
  <si>
    <t>South Korea</t>
  </si>
  <si>
    <t>beszhcyh</t>
  </si>
  <si>
    <t>Johannesburg Stock Exchange</t>
  </si>
  <si>
    <t>South Africa</t>
  </si>
  <si>
    <t>bjfxoyxb</t>
  </si>
  <si>
    <t>Toronto Stock Exchange</t>
  </si>
  <si>
    <t>Canada</t>
  </si>
  <si>
    <t>bpjmrhjo</t>
  </si>
  <si>
    <t>brxwzrct</t>
  </si>
  <si>
    <t>Deutsche Börse AG</t>
  </si>
  <si>
    <t>Germany</t>
  </si>
  <si>
    <t>bumcnvke</t>
  </si>
  <si>
    <t>cesjzpbs</t>
  </si>
  <si>
    <t>cetffxgx</t>
  </si>
  <si>
    <t>Saudi Stock Exchange (Tadawul)</t>
  </si>
  <si>
    <t>Saudi Arabia</t>
  </si>
  <si>
    <t>chhqshvn</t>
  </si>
  <si>
    <t>ciykrilb</t>
  </si>
  <si>
    <t>Japan Exchange Group</t>
  </si>
  <si>
    <t>Japan</t>
  </si>
  <si>
    <t>cnitsbpk</t>
  </si>
  <si>
    <t>Hong Kong Stock Exchange</t>
  </si>
  <si>
    <t>Hong Kong</t>
  </si>
  <si>
    <t>cntrbotn</t>
  </si>
  <si>
    <t>Shanghai Stock Exchange</t>
  </si>
  <si>
    <t>China</t>
  </si>
  <si>
    <t>cwuqczya</t>
  </si>
  <si>
    <t>cymioqte</t>
  </si>
  <si>
    <t>dcnexoao</t>
  </si>
  <si>
    <t>London Stock Exchange</t>
  </si>
  <si>
    <t>United Kingdom</t>
  </si>
  <si>
    <t>dcplrgaa</t>
  </si>
  <si>
    <t>dieionnl</t>
  </si>
  <si>
    <t>B3 Brasil Bolsa Balcão</t>
  </si>
  <si>
    <t>Brazil</t>
  </si>
  <si>
    <t>dlgsjszn</t>
  </si>
  <si>
    <t>Nasdaq</t>
  </si>
  <si>
    <t>United States</t>
  </si>
  <si>
    <t>dpaxyvrx</t>
  </si>
  <si>
    <t>dspetbsq</t>
  </si>
  <si>
    <t>ebkkmqbi</t>
  </si>
  <si>
    <t>egvfikiy</t>
  </si>
  <si>
    <t>eknpqcge</t>
  </si>
  <si>
    <t>ekteqlhb</t>
  </si>
  <si>
    <t>emjmheht</t>
  </si>
  <si>
    <t>eodhevfz</t>
  </si>
  <si>
    <t>Shenzhen Stock Exchange</t>
  </si>
  <si>
    <t>ewzlrcco</t>
  </si>
  <si>
    <t>Taiwan Stock Exchange</t>
  </si>
  <si>
    <t>Taiwan</t>
  </si>
  <si>
    <t>fenldjbq</t>
  </si>
  <si>
    <t>fipcayvv</t>
  </si>
  <si>
    <t>fjcdzhde</t>
  </si>
  <si>
    <t>fjhbimle</t>
  </si>
  <si>
    <t>fkgjitio</t>
  </si>
  <si>
    <t>frlnnmpc</t>
  </si>
  <si>
    <t>New York Stock Exchange</t>
  </si>
  <si>
    <t>fucpzbpk</t>
  </si>
  <si>
    <t>fzpkolfu</t>
  </si>
  <si>
    <t>gcndrwci</t>
  </si>
  <si>
    <t>gfiuzniq</t>
  </si>
  <si>
    <t>giuqiukz</t>
  </si>
  <si>
    <t>gnghjpok</t>
  </si>
  <si>
    <t>goxmkirb</t>
  </si>
  <si>
    <t>gsarsxnf</t>
  </si>
  <si>
    <t>hafqyymf</t>
  </si>
  <si>
    <t>hdpggnqd</t>
  </si>
  <si>
    <t>hdslpwul</t>
  </si>
  <si>
    <t>heuzjzpi</t>
  </si>
  <si>
    <t>hfdavabb</t>
  </si>
  <si>
    <t>hfjghpbq</t>
  </si>
  <si>
    <t>hflsqchs</t>
  </si>
  <si>
    <t>hfwtmipz</t>
  </si>
  <si>
    <t>hkesgmfj</t>
  </si>
  <si>
    <t>hmtiybmi</t>
  </si>
  <si>
    <t>hnmvqkxv</t>
  </si>
  <si>
    <t>hpvfzslv</t>
  </si>
  <si>
    <t>hrfilyua</t>
  </si>
  <si>
    <t>Australian Securities Exchange</t>
  </si>
  <si>
    <t>Australia</t>
  </si>
  <si>
    <t>hutszssu</t>
  </si>
  <si>
    <t>iagrfath</t>
  </si>
  <si>
    <t>icbmbfqb</t>
  </si>
  <si>
    <t>icgddrqk</t>
  </si>
  <si>
    <t>ifomvwpk</t>
  </si>
  <si>
    <t>ifskxsgr</t>
  </si>
  <si>
    <t>ivnpgban</t>
  </si>
  <si>
    <t>iztdnkqz</t>
  </si>
  <si>
    <t>jarhgmub</t>
  </si>
  <si>
    <t>jgrpnvil</t>
  </si>
  <si>
    <t>jhrvrggo</t>
  </si>
  <si>
    <t>jszxcuxx</t>
  </si>
  <si>
    <t>jvcllvko</t>
  </si>
  <si>
    <t>jxgqnvpx</t>
  </si>
  <si>
    <t>jyrrbwon</t>
  </si>
  <si>
    <t>kcqqvvon</t>
  </si>
  <si>
    <t>kdxpqsjj</t>
  </si>
  <si>
    <t>kltxxoqv</t>
  </si>
  <si>
    <t>kmlcsefq</t>
  </si>
  <si>
    <t>knifvikn</t>
  </si>
  <si>
    <t>knrhgdai</t>
  </si>
  <si>
    <t>koqfbdwf</t>
  </si>
  <si>
    <t>kpoujdyl</t>
  </si>
  <si>
    <t>kqbdcljv</t>
  </si>
  <si>
    <t>Nasdaq Nordic and Baltic Exchanges</t>
  </si>
  <si>
    <t>krqkwnaw</t>
  </si>
  <si>
    <t>kwbxqlin</t>
  </si>
  <si>
    <t>kweyaukr</t>
  </si>
  <si>
    <t>ldjllwvy</t>
  </si>
  <si>
    <t>lenpuaop</t>
  </si>
  <si>
    <t>lkxgzzvq</t>
  </si>
  <si>
    <t>loffykcg</t>
  </si>
  <si>
    <t>lpzjhtkm</t>
  </si>
  <si>
    <t>maizvkuo</t>
  </si>
  <si>
    <t>mfdlyjqb</t>
  </si>
  <si>
    <t>mfwvjgje</t>
  </si>
  <si>
    <t>mghfyjbr</t>
  </si>
  <si>
    <t>mjbwcafl</t>
  </si>
  <si>
    <t>mjyuxzvj</t>
  </si>
  <si>
    <t>mkxkerbr</t>
  </si>
  <si>
    <t>mxmztjnk</t>
  </si>
  <si>
    <t>mxpzparg</t>
  </si>
  <si>
    <t>nheepbxg</t>
  </si>
  <si>
    <t>njxhycea</t>
  </si>
  <si>
    <t>nklszbdc</t>
  </si>
  <si>
    <t>nqgoiuik</t>
  </si>
  <si>
    <t>nriklgrf</t>
  </si>
  <si>
    <t>nuleyiit</t>
  </si>
  <si>
    <t>nzyednpn</t>
  </si>
  <si>
    <t>ogszgnpm</t>
  </si>
  <si>
    <t>ohtzxhrm</t>
  </si>
  <si>
    <t>olnjegug</t>
  </si>
  <si>
    <t>oplgqwal</t>
  </si>
  <si>
    <t>orgnwenh</t>
  </si>
  <si>
    <t>ossshndu</t>
  </si>
  <si>
    <t>pberstsl</t>
  </si>
  <si>
    <t>pcifviip</t>
  </si>
  <si>
    <t>pnsxdhqo</t>
  </si>
  <si>
    <t>poohpdwc</t>
  </si>
  <si>
    <t>pswtoazn</t>
  </si>
  <si>
    <t>pxkjcmpp</t>
  </si>
  <si>
    <t>pxzcvvvv</t>
  </si>
  <si>
    <t>pyljmfku</t>
  </si>
  <si>
    <t>pysaclod</t>
  </si>
  <si>
    <t>pywztrno</t>
  </si>
  <si>
    <t>qdqbwhng</t>
  </si>
  <si>
    <t>qexyofhb</t>
  </si>
  <si>
    <t>qhprzdnb</t>
  </si>
  <si>
    <t>qklyndfp</t>
  </si>
  <si>
    <t>qonnwndv</t>
  </si>
  <si>
    <t>rcmrnpig</t>
  </si>
  <si>
    <t>rfngluke</t>
  </si>
  <si>
    <t>rgbcrwet</t>
  </si>
  <si>
    <t>rkupdsbn</t>
  </si>
  <si>
    <t>rxbzlipl</t>
  </si>
  <si>
    <t>rypujago</t>
  </si>
  <si>
    <t>scoljxeg</t>
  </si>
  <si>
    <t>seaeoiib</t>
  </si>
  <si>
    <t>sejklwar</t>
  </si>
  <si>
    <t>seszlhqz</t>
  </si>
  <si>
    <t>sgdkuekd</t>
  </si>
  <si>
    <t>slqawwyu</t>
  </si>
  <si>
    <t>stsjuvrd</t>
  </si>
  <si>
    <t>tazccemg</t>
  </si>
  <si>
    <t>tgayvhvz</t>
  </si>
  <si>
    <t>tiebtpqq</t>
  </si>
  <si>
    <t>tjtyuhoi</t>
  </si>
  <si>
    <t>tsmbtvip</t>
  </si>
  <si>
    <t>tsrjnkjg</t>
  </si>
  <si>
    <t>ttxgpfqy</t>
  </si>
  <si>
    <t>tuneagik</t>
  </si>
  <si>
    <t>twxakkhn</t>
  </si>
  <si>
    <t>txuwmhfn</t>
  </si>
  <si>
    <t>tyoavqhc</t>
  </si>
  <si>
    <t>ucjtvrzo</t>
  </si>
  <si>
    <t>ueoaufxg</t>
  </si>
  <si>
    <t>ugegxjpi</t>
  </si>
  <si>
    <t>uijhzhtp</t>
  </si>
  <si>
    <t>uiytklhp</t>
  </si>
  <si>
    <t>umdvcmek</t>
  </si>
  <si>
    <t>unxxstxp</t>
  </si>
  <si>
    <t>upcbwvls</t>
  </si>
  <si>
    <t>uvenvheh</t>
  </si>
  <si>
    <t>vajwbmmv</t>
  </si>
  <si>
    <t>vggvbbxh</t>
  </si>
  <si>
    <t>vjtxbscg</t>
  </si>
  <si>
    <t>vnkvbrpg</t>
  </si>
  <si>
    <t>vqkagvwm</t>
  </si>
  <si>
    <t>waxzujox</t>
  </si>
  <si>
    <t>wfglkcmq</t>
  </si>
  <si>
    <t>wgpoqytj</t>
  </si>
  <si>
    <t>wgzgfkki</t>
  </si>
  <si>
    <t>wiujcxll</t>
  </si>
  <si>
    <t>wmesgogf</t>
  </si>
  <si>
    <t>wzerurjz</t>
  </si>
  <si>
    <t>xbcdvdtp</t>
  </si>
  <si>
    <t>xgimgqvp</t>
  </si>
  <si>
    <t>xgszegxx</t>
  </si>
  <si>
    <t>xgxazdwr</t>
  </si>
  <si>
    <t>xkdlzakx</t>
  </si>
  <si>
    <t>xmfevyrg</t>
  </si>
  <si>
    <t>xmzhzbvl</t>
  </si>
  <si>
    <t>xslzwome</t>
  </si>
  <si>
    <t>xydeqivj</t>
  </si>
  <si>
    <t>ybasexlh</t>
  </si>
  <si>
    <t>ydcmffnz</t>
  </si>
  <si>
    <t>yjrqvwdc</t>
  </si>
  <si>
    <t>ynqvlbrq</t>
  </si>
  <si>
    <t>ynrcizqr</t>
  </si>
  <si>
    <t>ypdwpcvo</t>
  </si>
  <si>
    <t>yrvvdedn</t>
  </si>
  <si>
    <t>ysndnwiy</t>
  </si>
  <si>
    <t>ywfotaaf</t>
  </si>
  <si>
    <t>yyclexzy</t>
  </si>
  <si>
    <t>zhhtkovi</t>
  </si>
  <si>
    <t>zkxftiop</t>
  </si>
  <si>
    <t>zlqfijoe</t>
  </si>
  <si>
    <t>zrgkwdyf</t>
  </si>
  <si>
    <t>zsbkamjf</t>
  </si>
  <si>
    <t>zsylhezi</t>
  </si>
  <si>
    <t>zvxjotpr</t>
  </si>
  <si>
    <t>​</t>
  </si>
  <si>
    <t>Somma di Quantity</t>
  </si>
  <si>
    <t>Tassazione necessaria</t>
  </si>
  <si>
    <t>Totale generale</t>
  </si>
  <si>
    <t>Holding Period (Days)</t>
  </si>
  <si>
    <t xml:space="preserve">Profit </t>
  </si>
  <si>
    <t>Media</t>
  </si>
  <si>
    <t>Moda</t>
  </si>
  <si>
    <t>Mediana</t>
  </si>
  <si>
    <t>Dev. St.</t>
  </si>
  <si>
    <t>Min</t>
  </si>
  <si>
    <t>Max</t>
  </si>
  <si>
    <t>m - ds</t>
  </si>
  <si>
    <t>m + ds</t>
  </si>
  <si>
    <t>osservazioni in range</t>
  </si>
  <si>
    <t xml:space="preserve">L'istogramma rappresenta la distribuzione del perdiodo di possesso dei trades. La distribuzione non è una distribuzione normale, visivamente non si evidenzia un picco centrale e l'andamento è piuttosto appiattito. A supporto sono state calcolate le principali statistiche descrittive che evidenziano come media, mediana e moda non coincidano, sebbene media e mediana siano vicine (449 e 444), si nota un evidente distacco della moda (623) che di conseguenza non divide 50% delle osservazioni al di sotto di essa e 50% al si sopra . Inoltre, la deviazione standard è molto elevata (222,2) e questo evidenzia variabilità dei dati e di conseguenza c'è dispersione rispetto alla media.
E' stato infine calcolato il range media - dev. standard (227,6) e media + dev standard (672), applicando un filtro, ordinando i valori nella colonna b e conteggiando i valori che ricadono nel range il risultato è di 118 che espresso in percentuale è pari al 59% dei casi, numero molto inferiore rispetto a quanto ci si aspetterebbe da una distribuzione normale (68% dei casi)
</t>
  </si>
  <si>
    <t xml:space="preserve">  </t>
  </si>
  <si>
    <t>P(UK = 1)</t>
  </si>
  <si>
    <t>P(Asia e &lt;=8)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</si>
</sst>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"/>
    <numFmt numFmtId="165" formatCode="[$$-409]#,##0.00000"/>
    <numFmt numFmtId="166" formatCode="0.0"/>
    <numFmt numFmtId="167" formatCode="_-* #,##0.00_-;\-* #,##0.00_-;_-* &quot;-&quot;??_-;_-@"/>
  </numFmts>
  <fonts count="15">
    <font>
      <sz val="10.0"/>
      <color rgb="FF000000"/>
      <name val="Arial"/>
      <scheme val="minor"/>
    </font>
    <font>
      <b/>
      <sz val="12.0"/>
      <color rgb="FF002060"/>
      <name val="Comic Sans MS"/>
    </font>
    <font>
      <b/>
      <sz val="14.0"/>
      <color rgb="FF000000"/>
      <name val="Calibri"/>
    </font>
    <font>
      <sz val="10.0"/>
      <color rgb="FF000000"/>
      <name val="Monospace"/>
    </font>
    <font>
      <u/>
      <sz val="10.0"/>
      <color rgb="FF000000"/>
      <name val="Calibri"/>
    </font>
    <font>
      <sz val="10.0"/>
      <color theme="1"/>
      <name val="Calibri"/>
    </font>
    <font>
      <sz val="11.0"/>
      <color rgb="FF000000"/>
      <name val="Monospace"/>
    </font>
    <font>
      <sz val="10.0"/>
      <color rgb="FF000000"/>
      <name val="Calibri"/>
    </font>
    <font>
      <sz val="10.0"/>
      <color rgb="FF303F9F"/>
      <name val="Monospace"/>
    </font>
    <font>
      <sz val="10.0"/>
      <color theme="1"/>
      <name val="Inherit"/>
    </font>
    <font>
      <sz val="10.0"/>
      <color theme="1"/>
      <name val="Monospace"/>
    </font>
    <font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D9E6FC"/>
        <bgColor rgb="FFD9E6FC"/>
      </patternFill>
    </fill>
    <fill>
      <patternFill patternType="solid">
        <fgColor rgb="FFD9F1F3"/>
        <bgColor rgb="FFD9F1F3"/>
      </patternFill>
    </fill>
    <fill>
      <patternFill patternType="solid">
        <fgColor theme="0"/>
        <bgColor theme="0"/>
      </patternFill>
    </fill>
    <fill>
      <patternFill patternType="solid">
        <fgColor rgb="FFFEE1CC"/>
        <bgColor rgb="FFFEE1CC"/>
      </patternFill>
    </fill>
    <fill>
      <patternFill patternType="solid">
        <fgColor rgb="FF8DB5F8"/>
        <bgColor rgb="FF8DB5F8"/>
      </patternFill>
    </fill>
  </fills>
  <borders count="5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2" fillId="0" fontId="3" numFmtId="0" xfId="0" applyAlignment="1" applyBorder="1" applyFont="1">
      <alignment horizontal="left" shrinkToFit="0" wrapText="1"/>
    </xf>
    <xf borderId="3" fillId="0" fontId="4" numFmtId="0" xfId="0" applyBorder="1" applyFont="1"/>
    <xf borderId="3" fillId="0" fontId="5" numFmtId="0" xfId="0" applyBorder="1" applyFont="1"/>
    <xf borderId="3" fillId="0" fontId="3" numFmtId="164" xfId="0" applyAlignment="1" applyBorder="1" applyFont="1" applyNumberFormat="1">
      <alignment horizontal="left" shrinkToFit="0" wrapText="1"/>
    </xf>
    <xf borderId="3" fillId="2" fontId="6" numFmtId="0" xfId="0" applyAlignment="1" applyBorder="1" applyFill="1" applyFont="1">
      <alignment horizontal="left" shrinkToFit="0" wrapText="1"/>
    </xf>
    <xf borderId="0" fillId="0" fontId="5" numFmtId="0" xfId="0" applyFont="1"/>
    <xf borderId="3" fillId="0" fontId="3" numFmtId="0" xfId="0" applyAlignment="1" applyBorder="1" applyFont="1">
      <alignment horizontal="left" shrinkToFit="0" wrapText="1"/>
    </xf>
    <xf borderId="3" fillId="0" fontId="7" numFmtId="0" xfId="0" applyBorder="1" applyFont="1"/>
    <xf borderId="3" fillId="2" fontId="6" numFmtId="11" xfId="0" applyAlignment="1" applyBorder="1" applyFont="1" applyNumberFormat="1">
      <alignment horizontal="left" shrinkToFit="0" wrapText="1"/>
    </xf>
    <xf borderId="0" fillId="0" fontId="3" numFmtId="0" xfId="0" applyAlignment="1" applyFont="1">
      <alignment horizontal="left" shrinkToFit="0" wrapText="1"/>
    </xf>
    <xf borderId="0" fillId="0" fontId="7" numFmtId="0" xfId="0" applyFont="1"/>
    <xf borderId="0" fillId="0" fontId="8" numFmtId="0" xfId="0" applyAlignment="1" applyFont="1">
      <alignment horizontal="right" shrinkToFit="0" wrapText="1"/>
    </xf>
    <xf borderId="0" fillId="0" fontId="9" numFmtId="0" xfId="0" applyAlignment="1" applyFont="1">
      <alignment horizontal="right"/>
    </xf>
    <xf borderId="4" fillId="3" fontId="6" numFmtId="0" xfId="0" applyAlignment="1" applyBorder="1" applyFill="1" applyFont="1">
      <alignment shrinkToFit="0" wrapText="1"/>
    </xf>
    <xf borderId="0" fillId="0" fontId="10" numFmtId="0" xfId="0" applyAlignment="1" applyFont="1">
      <alignment horizontal="right"/>
    </xf>
    <xf borderId="3" fillId="0" fontId="11" numFmtId="0" xfId="0" applyBorder="1" applyFont="1"/>
    <xf borderId="3" fillId="4" fontId="12" numFmtId="0" xfId="0" applyBorder="1" applyFill="1" applyFont="1"/>
    <xf borderId="2" fillId="0" fontId="11" numFmtId="0" xfId="0" applyAlignment="1" applyBorder="1" applyFont="1">
      <alignment horizontal="left"/>
    </xf>
    <xf borderId="2" fillId="0" fontId="11" numFmtId="0" xfId="0" applyBorder="1" applyFont="1"/>
    <xf borderId="3" fillId="0" fontId="11" numFmtId="0" xfId="0" applyAlignment="1" applyBorder="1" applyFont="1">
      <alignment horizontal="right"/>
    </xf>
    <xf borderId="3" fillId="0" fontId="11" numFmtId="0" xfId="0" applyAlignment="1" applyBorder="1" applyFont="1">
      <alignment horizontal="left"/>
    </xf>
    <xf borderId="0" fillId="0" fontId="11" numFmtId="0" xfId="0" applyAlignment="1" applyFont="1">
      <alignment horizontal="right"/>
    </xf>
    <xf borderId="3" fillId="0" fontId="11" numFmtId="165" xfId="0" applyBorder="1" applyFont="1" applyNumberFormat="1"/>
    <xf borderId="3" fillId="0" fontId="13" numFmtId="0" xfId="0" applyBorder="1" applyFont="1"/>
    <xf borderId="3" fillId="0" fontId="11" numFmtId="166" xfId="0" applyBorder="1" applyFont="1" applyNumberFormat="1"/>
    <xf borderId="3" fillId="0" fontId="11" numFmtId="9" xfId="0" applyBorder="1" applyFont="1" applyNumberFormat="1"/>
    <xf borderId="0" fillId="0" fontId="11" numFmtId="0" xfId="0" applyAlignment="1" applyFont="1">
      <alignment shrinkToFit="0" vertical="top" wrapText="1"/>
    </xf>
    <xf borderId="3" fillId="4" fontId="14" numFmtId="0" xfId="0" applyBorder="1" applyFont="1"/>
    <xf borderId="3" fillId="5" fontId="11" numFmtId="0" xfId="0" applyBorder="1" applyFill="1" applyFont="1"/>
    <xf borderId="3" fillId="6" fontId="11" numFmtId="0" xfId="0" applyBorder="1" applyFill="1" applyFont="1"/>
    <xf borderId="3" fillId="7" fontId="11" numFmtId="0" xfId="0" applyBorder="1" applyFill="1" applyFont="1"/>
    <xf borderId="3" fillId="8" fontId="11" numFmtId="0" xfId="0" applyBorder="1" applyFill="1" applyFont="1"/>
    <xf borderId="3" fillId="7" fontId="11" numFmtId="167" xfId="0" applyBorder="1" applyFont="1" applyNumberFormat="1"/>
    <xf borderId="3" fillId="7" fontId="11" numFmtId="9" xfId="0" applyBorder="1" applyFont="1" applyNumberFormat="1"/>
    <xf borderId="3" fillId="5" fontId="11" numFmtId="167" xfId="0" applyBorder="1" applyFont="1" applyNumberFormat="1"/>
    <xf borderId="3" fillId="5" fontId="11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201" sheet="Stock Exchanges"/>
  </cacheSource>
  <cacheFields>
    <cacheField name="Region" numFmtId="0">
      <sharedItems>
        <s v="India"/>
        <s v="Iran"/>
        <s v="Switzerland"/>
        <s v="Europe"/>
        <s v="South Korea"/>
        <s v="South Africa"/>
        <s v="Canada"/>
        <s v="Germany"/>
        <s v="Saudi Arabia"/>
        <s v="Japan"/>
        <s v="Hong Kong"/>
        <s v="China"/>
        <s v="United Kingdom"/>
        <s v="Brazil"/>
        <s v="United States"/>
        <s v="Taiwan"/>
        <s v="Australia"/>
      </sharedItems>
    </cacheField>
    <cacheField name="Quantity" numFmtId="0">
      <sharedItems containsSemiMixedTypes="0" containsString="0" containsNumber="1" containsInteger="1">
        <n v="7.0"/>
        <n v="2.0"/>
        <n v="6.0"/>
        <n v="1.0"/>
        <n v="9.0"/>
        <n v="3.0"/>
        <n v="4.0"/>
        <n v="10.0"/>
        <n v="5.0"/>
        <n v="8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204" sheet="Number of Trades Exchanged"/>
  </cacheSource>
  <cacheFields>
    <cacheField name="Region" numFmtId="0">
      <sharedItems containsBlank="1">
        <s v="India"/>
        <s v="Iran"/>
        <s v="Switzerland"/>
        <s v="Europe"/>
        <s v="South Korea"/>
        <s v="South Africa"/>
        <s v="Canada"/>
        <s v="Germany"/>
        <s v="Saudi Arabia"/>
        <s v="Japan"/>
        <s v="Hong Kong"/>
        <s v="China"/>
        <s v="United Kingdom"/>
        <s v="Brazil"/>
        <s v="United States"/>
        <s v="Taiwan"/>
        <s v="Australia"/>
        <m/>
      </sharedItems>
    </cacheField>
    <cacheField name="Quantity" numFmtId="0">
      <sharedItems containsString="0" containsBlank="1" containsNumber="1" containsInteger="1">
        <n v="7.0"/>
        <n v="2.0"/>
        <n v="6.0"/>
        <n v="1.0"/>
        <n v="9.0"/>
        <n v="3.0"/>
        <n v="4.0"/>
        <n v="10.0"/>
        <n v="5.0"/>
        <n v="8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tock Exchanges" cacheId="0" dataCaption="" compact="0" compactData="0">
  <location ref="D3:E21" firstHeaderRow="0" firstDataRow="1" firstDataCol="0"/>
  <pivotFields>
    <pivotField name="Region" axis="axisRow" compact="0" outline="0" multipleItemSelectionAllowed="1" showAll="0" sortType="ascending">
      <items>
        <item x="16"/>
        <item x="13"/>
        <item x="6"/>
        <item x="11"/>
        <item x="3"/>
        <item x="7"/>
        <item x="10"/>
        <item x="0"/>
        <item x="1"/>
        <item x="9"/>
        <item x="8"/>
        <item x="5"/>
        <item x="4"/>
        <item x="2"/>
        <item x="15"/>
        <item x="12"/>
        <item x="14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dataFields>
    <dataField name="Somma di Quantity" fld="1" baseField="0"/>
  </dataFields>
</pivotTableDefinition>
</file>

<file path=xl/pivotTables/pivotTable2.xml><?xml version="1.0" encoding="utf-8"?>
<pivotTableDefinition xmlns="http://schemas.openxmlformats.org/spreadsheetml/2006/main" name="Number of Trades Exchanged" cacheId="1" dataCaption="" compact="0" compactData="0">
  <location ref="D1:O20" firstHeaderRow="0" firstDataRow="1" firstDataCol="1"/>
  <pivotFields>
    <pivotField name="Region" axis="axisRow" compact="0" outline="0" multipleItemSelectionAllowed="1" showAll="0" sortType="ascending">
      <items>
        <item h="1" x="17"/>
        <item x="16"/>
        <item x="13"/>
        <item x="6"/>
        <item x="11"/>
        <item x="3"/>
        <item x="7"/>
        <item x="10"/>
        <item x="0"/>
        <item x="1"/>
        <item x="9"/>
        <item x="8"/>
        <item x="5"/>
        <item x="4"/>
        <item x="2"/>
        <item x="15"/>
        <item x="12"/>
        <item x="14"/>
        <item t="default"/>
      </items>
    </pivotField>
    <pivotField name="Quantity" axis="axisCol" dataField="1" compact="0" outline="0" multipleItemSelectionAllowed="1" showAll="0" sortType="ascending">
      <items>
        <item x="10"/>
        <item x="3"/>
        <item x="1"/>
        <item x="5"/>
        <item x="6"/>
        <item x="8"/>
        <item x="2"/>
        <item x="0"/>
        <item x="9"/>
        <item x="4"/>
        <item x="7"/>
        <item t="default"/>
      </items>
    </pivotField>
  </pivotFields>
  <rowFields>
    <field x="0"/>
  </rowFields>
  <colFields>
    <field x="1"/>
  </colFields>
  <dataFields>
    <dataField name="  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n.wikipedia.org/wiki/Tehran_Stock_Exchange" TargetMode="External"/><Relationship Id="rId42" Type="http://schemas.openxmlformats.org/officeDocument/2006/relationships/hyperlink" Target="https://en.wikipedia.org/wiki/Tehran_Stock_Exchange" TargetMode="External"/><Relationship Id="rId41" Type="http://schemas.openxmlformats.org/officeDocument/2006/relationships/hyperlink" Target="https://en.wikipedia.org/wiki/New_York_Stock_Exchange" TargetMode="External"/><Relationship Id="rId44" Type="http://schemas.openxmlformats.org/officeDocument/2006/relationships/hyperlink" Target="https://en.wikipedia.org/wiki/Bombay_Stock_Exchange" TargetMode="External"/><Relationship Id="rId43" Type="http://schemas.openxmlformats.org/officeDocument/2006/relationships/hyperlink" Target="https://en.wikipedia.org/wiki/Japan_Exchange_Group" TargetMode="External"/><Relationship Id="rId46" Type="http://schemas.openxmlformats.org/officeDocument/2006/relationships/hyperlink" Target="https://en.wikipedia.org/wiki/Deutsche_B%C3%B6rse" TargetMode="External"/><Relationship Id="rId45" Type="http://schemas.openxmlformats.org/officeDocument/2006/relationships/hyperlink" Target="https://en.wikipedia.org/wiki/Shanghai_Stock_Exchange" TargetMode="External"/><Relationship Id="rId107" Type="http://schemas.openxmlformats.org/officeDocument/2006/relationships/hyperlink" Target="https://en.wikipedia.org/wiki/Korea_Exchange" TargetMode="External"/><Relationship Id="rId106" Type="http://schemas.openxmlformats.org/officeDocument/2006/relationships/hyperlink" Target="https://en.wikipedia.org/wiki/Japan_Exchange_Group" TargetMode="External"/><Relationship Id="rId105" Type="http://schemas.openxmlformats.org/officeDocument/2006/relationships/hyperlink" Target="https://en.wikipedia.org/wiki/Tehran_Stock_Exchange" TargetMode="External"/><Relationship Id="rId104" Type="http://schemas.openxmlformats.org/officeDocument/2006/relationships/hyperlink" Target="https://en.wikipedia.org/wiki/B3_(stock_exchange)" TargetMode="External"/><Relationship Id="rId109" Type="http://schemas.openxmlformats.org/officeDocument/2006/relationships/hyperlink" Target="https://en.wikipedia.org/wiki/London_Stock_Exchange" TargetMode="External"/><Relationship Id="rId108" Type="http://schemas.openxmlformats.org/officeDocument/2006/relationships/hyperlink" Target="https://en.wikipedia.org/wiki/Nasdaq" TargetMode="External"/><Relationship Id="rId48" Type="http://schemas.openxmlformats.org/officeDocument/2006/relationships/hyperlink" Target="https://en.wikipedia.org/wiki/Toronto_Stock_Exchange" TargetMode="External"/><Relationship Id="rId47" Type="http://schemas.openxmlformats.org/officeDocument/2006/relationships/hyperlink" Target="https://en.wikipedia.org/wiki/Hong_Kong_Stock_Exchange" TargetMode="External"/><Relationship Id="rId185" Type="http://schemas.openxmlformats.org/officeDocument/2006/relationships/drawing" Target="../drawings/drawing1.xml"/><Relationship Id="rId49" Type="http://schemas.openxmlformats.org/officeDocument/2006/relationships/hyperlink" Target="https://en.wikipedia.org/wiki/Korea_Exchange" TargetMode="External"/><Relationship Id="rId184" Type="http://schemas.openxmlformats.org/officeDocument/2006/relationships/hyperlink" Target="https://en.wikipedia.org/wiki/B3_(stock_exchange)" TargetMode="External"/><Relationship Id="rId103" Type="http://schemas.openxmlformats.org/officeDocument/2006/relationships/hyperlink" Target="https://en.wikipedia.org/wiki/SIX_Swiss_Exchange" TargetMode="External"/><Relationship Id="rId102" Type="http://schemas.openxmlformats.org/officeDocument/2006/relationships/hyperlink" Target="https://en.wikipedia.org/wiki/B3_(stock_exchange)" TargetMode="External"/><Relationship Id="rId101" Type="http://schemas.openxmlformats.org/officeDocument/2006/relationships/hyperlink" Target="https://en.wikipedia.org/wiki/Euronext" TargetMode="External"/><Relationship Id="rId100" Type="http://schemas.openxmlformats.org/officeDocument/2006/relationships/hyperlink" Target="https://en.wikipedia.org/wiki/Hong_Kong_Stock_Exchange" TargetMode="External"/><Relationship Id="rId31" Type="http://schemas.openxmlformats.org/officeDocument/2006/relationships/hyperlink" Target="https://en.wikipedia.org/wiki/London_Stock_Exchange" TargetMode="External"/><Relationship Id="rId30" Type="http://schemas.openxmlformats.org/officeDocument/2006/relationships/hyperlink" Target="https://en.wikipedia.org/wiki/Deutsche_B%C3%B6rse" TargetMode="External"/><Relationship Id="rId33" Type="http://schemas.openxmlformats.org/officeDocument/2006/relationships/hyperlink" Target="https://en.wikipedia.org/wiki/Taiwan_Stock_Exchange" TargetMode="External"/><Relationship Id="rId183" Type="http://schemas.openxmlformats.org/officeDocument/2006/relationships/hyperlink" Target="https://en.wikipedia.org/wiki/Taiwan_Stock_Exchange" TargetMode="External"/><Relationship Id="rId32" Type="http://schemas.openxmlformats.org/officeDocument/2006/relationships/hyperlink" Target="https://en.wikipedia.org/wiki/Shenzhen_Stock_Exchange" TargetMode="External"/><Relationship Id="rId182" Type="http://schemas.openxmlformats.org/officeDocument/2006/relationships/hyperlink" Target="https://en.wikipedia.org/wiki/B3_(stock_exchange)" TargetMode="External"/><Relationship Id="rId35" Type="http://schemas.openxmlformats.org/officeDocument/2006/relationships/hyperlink" Target="https://en.wikipedia.org/wiki/SIX_Swiss_Exchange" TargetMode="External"/><Relationship Id="rId181" Type="http://schemas.openxmlformats.org/officeDocument/2006/relationships/hyperlink" Target="https://en.wikipedia.org/wiki/Hong_Kong_Stock_Exchange" TargetMode="External"/><Relationship Id="rId34" Type="http://schemas.openxmlformats.org/officeDocument/2006/relationships/hyperlink" Target="https://en.wikipedia.org/wiki/Deutsche_B%C3%B6rse" TargetMode="External"/><Relationship Id="rId180" Type="http://schemas.openxmlformats.org/officeDocument/2006/relationships/hyperlink" Target="https://en.wikipedia.org/wiki/B3_(stock_exchange)" TargetMode="External"/><Relationship Id="rId37" Type="http://schemas.openxmlformats.org/officeDocument/2006/relationships/hyperlink" Target="https://en.wikipedia.org/wiki/Taiwan_Stock_Exchange" TargetMode="External"/><Relationship Id="rId176" Type="http://schemas.openxmlformats.org/officeDocument/2006/relationships/hyperlink" Target="https://en.wikipedia.org/wiki/Hong_Kong_Stock_Exchange" TargetMode="External"/><Relationship Id="rId36" Type="http://schemas.openxmlformats.org/officeDocument/2006/relationships/hyperlink" Target="https://en.wikipedia.org/wiki/Euronext" TargetMode="External"/><Relationship Id="rId175" Type="http://schemas.openxmlformats.org/officeDocument/2006/relationships/hyperlink" Target="https://en.wikipedia.org/wiki/Bombay_Stock_Exchange" TargetMode="External"/><Relationship Id="rId39" Type="http://schemas.openxmlformats.org/officeDocument/2006/relationships/hyperlink" Target="https://en.wikipedia.org/wiki/New_York_Stock_Exchange" TargetMode="External"/><Relationship Id="rId174" Type="http://schemas.openxmlformats.org/officeDocument/2006/relationships/hyperlink" Target="https://en.wikipedia.org/wiki/Deutsche_B%C3%B6rse" TargetMode="External"/><Relationship Id="rId38" Type="http://schemas.openxmlformats.org/officeDocument/2006/relationships/hyperlink" Target="https://en.wikipedia.org/wiki/Deutsche_B%C3%B6rse" TargetMode="External"/><Relationship Id="rId173" Type="http://schemas.openxmlformats.org/officeDocument/2006/relationships/hyperlink" Target="https://en.wikipedia.org/wiki/Japan_Exchange_Group" TargetMode="External"/><Relationship Id="rId179" Type="http://schemas.openxmlformats.org/officeDocument/2006/relationships/hyperlink" Target="https://en.wikipedia.org/wiki/JSE_Limited" TargetMode="External"/><Relationship Id="rId178" Type="http://schemas.openxmlformats.org/officeDocument/2006/relationships/hyperlink" Target="https://en.wikipedia.org/wiki/Shenzhen_Stock_Exchange" TargetMode="External"/><Relationship Id="rId177" Type="http://schemas.openxmlformats.org/officeDocument/2006/relationships/hyperlink" Target="https://en.wikipedia.org/wiki/Shanghai_Stock_Exchange" TargetMode="External"/><Relationship Id="rId20" Type="http://schemas.openxmlformats.org/officeDocument/2006/relationships/hyperlink" Target="https://en.wikipedia.org/wiki/Japan_Exchange_Group" TargetMode="External"/><Relationship Id="rId22" Type="http://schemas.openxmlformats.org/officeDocument/2006/relationships/hyperlink" Target="https://en.wikipedia.org/wiki/Bombay_Stock_Exchange" TargetMode="External"/><Relationship Id="rId21" Type="http://schemas.openxmlformats.org/officeDocument/2006/relationships/hyperlink" Target="https://en.wikipedia.org/wiki/London_Stock_Exchange" TargetMode="External"/><Relationship Id="rId24" Type="http://schemas.openxmlformats.org/officeDocument/2006/relationships/hyperlink" Target="https://en.wikipedia.org/wiki/Nasdaq" TargetMode="External"/><Relationship Id="rId23" Type="http://schemas.openxmlformats.org/officeDocument/2006/relationships/hyperlink" Target="https://en.wikipedia.org/wiki/B3_(stock_exchange)" TargetMode="External"/><Relationship Id="rId129" Type="http://schemas.openxmlformats.org/officeDocument/2006/relationships/hyperlink" Target="https://en.wikipedia.org/wiki/Toronto_Stock_Exchange" TargetMode="External"/><Relationship Id="rId128" Type="http://schemas.openxmlformats.org/officeDocument/2006/relationships/hyperlink" Target="https://en.wikipedia.org/wiki/Taiwan_Stock_Exchange" TargetMode="External"/><Relationship Id="rId127" Type="http://schemas.openxmlformats.org/officeDocument/2006/relationships/hyperlink" Target="https://en.wikipedia.org/wiki/London_Stock_Exchange" TargetMode="External"/><Relationship Id="rId126" Type="http://schemas.openxmlformats.org/officeDocument/2006/relationships/hyperlink" Target="https://en.wikipedia.org/wiki/Deutsche_B%C3%B6rse" TargetMode="External"/><Relationship Id="rId26" Type="http://schemas.openxmlformats.org/officeDocument/2006/relationships/hyperlink" Target="https://en.wikipedia.org/wiki/B3_(stock_exchange)" TargetMode="External"/><Relationship Id="rId121" Type="http://schemas.openxmlformats.org/officeDocument/2006/relationships/hyperlink" Target="https://en.wikipedia.org/wiki/New_York_Stock_Exchange" TargetMode="External"/><Relationship Id="rId25" Type="http://schemas.openxmlformats.org/officeDocument/2006/relationships/hyperlink" Target="https://en.wikipedia.org/wiki/Toronto_Stock_Exchange" TargetMode="External"/><Relationship Id="rId120" Type="http://schemas.openxmlformats.org/officeDocument/2006/relationships/hyperlink" Target="https://en.wikipedia.org/wiki/Taiwan_Stock_Exchange" TargetMode="External"/><Relationship Id="rId28" Type="http://schemas.openxmlformats.org/officeDocument/2006/relationships/hyperlink" Target="https://en.wikipedia.org/wiki/Bombay_Stock_Exchange" TargetMode="External"/><Relationship Id="rId27" Type="http://schemas.openxmlformats.org/officeDocument/2006/relationships/hyperlink" Target="https://en.wikipedia.org/wiki/Korea_Exchange" TargetMode="External"/><Relationship Id="rId125" Type="http://schemas.openxmlformats.org/officeDocument/2006/relationships/hyperlink" Target="https://en.wikipedia.org/wiki/Nasdaq_Nordic" TargetMode="External"/><Relationship Id="rId29" Type="http://schemas.openxmlformats.org/officeDocument/2006/relationships/hyperlink" Target="https://en.wikipedia.org/wiki/Bombay_Stock_Exchange" TargetMode="External"/><Relationship Id="rId124" Type="http://schemas.openxmlformats.org/officeDocument/2006/relationships/hyperlink" Target="https://en.wikipedia.org/wiki/Nasdaq" TargetMode="External"/><Relationship Id="rId123" Type="http://schemas.openxmlformats.org/officeDocument/2006/relationships/hyperlink" Target="https://en.wikipedia.org/wiki/Deutsche_B%C3%B6rse" TargetMode="External"/><Relationship Id="rId122" Type="http://schemas.openxmlformats.org/officeDocument/2006/relationships/hyperlink" Target="https://en.wikipedia.org/wiki/Toronto_Stock_Exchange" TargetMode="External"/><Relationship Id="rId95" Type="http://schemas.openxmlformats.org/officeDocument/2006/relationships/hyperlink" Target="https://en.wikipedia.org/wiki/Taiwan_Stock_Exchange" TargetMode="External"/><Relationship Id="rId94" Type="http://schemas.openxmlformats.org/officeDocument/2006/relationships/hyperlink" Target="https://en.wikipedia.org/wiki/Toronto_Stock_Exchange" TargetMode="External"/><Relationship Id="rId97" Type="http://schemas.openxmlformats.org/officeDocument/2006/relationships/hyperlink" Target="https://en.wikipedia.org/wiki/Tadawul" TargetMode="External"/><Relationship Id="rId96" Type="http://schemas.openxmlformats.org/officeDocument/2006/relationships/hyperlink" Target="https://en.wikipedia.org/wiki/Tadawul" TargetMode="External"/><Relationship Id="rId11" Type="http://schemas.openxmlformats.org/officeDocument/2006/relationships/hyperlink" Target="https://en.wikipedia.org/wiki/Deutsche_B%C3%B6rse" TargetMode="External"/><Relationship Id="rId99" Type="http://schemas.openxmlformats.org/officeDocument/2006/relationships/hyperlink" Target="https://en.wikipedia.org/wiki/B3_(stock_exchange)" TargetMode="External"/><Relationship Id="rId10" Type="http://schemas.openxmlformats.org/officeDocument/2006/relationships/hyperlink" Target="https://en.wikipedia.org/wiki/Euronext" TargetMode="External"/><Relationship Id="rId98" Type="http://schemas.openxmlformats.org/officeDocument/2006/relationships/hyperlink" Target="https://en.wikipedia.org/wiki/Nasdaq" TargetMode="External"/><Relationship Id="rId13" Type="http://schemas.openxmlformats.org/officeDocument/2006/relationships/hyperlink" Target="https://en.wikipedia.org/wiki/Bombay_Stock_Exchange" TargetMode="External"/><Relationship Id="rId12" Type="http://schemas.openxmlformats.org/officeDocument/2006/relationships/hyperlink" Target="https://en.wikipedia.org/wiki/Bombay_Stock_Exchange" TargetMode="External"/><Relationship Id="rId91" Type="http://schemas.openxmlformats.org/officeDocument/2006/relationships/hyperlink" Target="https://en.wikipedia.org/wiki/Nasdaq_Nordic" TargetMode="External"/><Relationship Id="rId90" Type="http://schemas.openxmlformats.org/officeDocument/2006/relationships/hyperlink" Target="https://en.wikipedia.org/wiki/Euronext" TargetMode="External"/><Relationship Id="rId93" Type="http://schemas.openxmlformats.org/officeDocument/2006/relationships/hyperlink" Target="https://en.wikipedia.org/wiki/National_Stock_Exchange_of_India" TargetMode="External"/><Relationship Id="rId92" Type="http://schemas.openxmlformats.org/officeDocument/2006/relationships/hyperlink" Target="https://en.wikipedia.org/wiki/Nasdaq_Nordic" TargetMode="External"/><Relationship Id="rId118" Type="http://schemas.openxmlformats.org/officeDocument/2006/relationships/hyperlink" Target="https://en.wikipedia.org/wiki/Hong_Kong_Stock_Exchange" TargetMode="External"/><Relationship Id="rId117" Type="http://schemas.openxmlformats.org/officeDocument/2006/relationships/hyperlink" Target="https://en.wikipedia.org/wiki/B3_(stock_exchange)" TargetMode="External"/><Relationship Id="rId116" Type="http://schemas.openxmlformats.org/officeDocument/2006/relationships/hyperlink" Target="https://en.wikipedia.org/wiki/Tehran_Stock_Exchange" TargetMode="External"/><Relationship Id="rId115" Type="http://schemas.openxmlformats.org/officeDocument/2006/relationships/hyperlink" Target="https://en.wikipedia.org/wiki/JSE_Limited" TargetMode="External"/><Relationship Id="rId119" Type="http://schemas.openxmlformats.org/officeDocument/2006/relationships/hyperlink" Target="https://en.wikipedia.org/wiki/National_Stock_Exchange_of_India" TargetMode="External"/><Relationship Id="rId15" Type="http://schemas.openxmlformats.org/officeDocument/2006/relationships/hyperlink" Target="https://en.wikipedia.org/wiki/JSE_Limited" TargetMode="External"/><Relationship Id="rId110" Type="http://schemas.openxmlformats.org/officeDocument/2006/relationships/hyperlink" Target="https://en.wikipedia.org/wiki/Bombay_Stock_Exchange" TargetMode="External"/><Relationship Id="rId14" Type="http://schemas.openxmlformats.org/officeDocument/2006/relationships/hyperlink" Target="https://en.wikipedia.org/wiki/Tadawul" TargetMode="External"/><Relationship Id="rId17" Type="http://schemas.openxmlformats.org/officeDocument/2006/relationships/hyperlink" Target="https://en.wikipedia.org/wiki/Hong_Kong_Stock_Exchange" TargetMode="External"/><Relationship Id="rId16" Type="http://schemas.openxmlformats.org/officeDocument/2006/relationships/hyperlink" Target="https://en.wikipedia.org/wiki/Japan_Exchange_Group" TargetMode="External"/><Relationship Id="rId19" Type="http://schemas.openxmlformats.org/officeDocument/2006/relationships/hyperlink" Target="https://en.wikipedia.org/wiki/National_Stock_Exchange_of_India" TargetMode="External"/><Relationship Id="rId114" Type="http://schemas.openxmlformats.org/officeDocument/2006/relationships/hyperlink" Target="https://en.wikipedia.org/wiki/Deutsche_B%C3%B6rse" TargetMode="External"/><Relationship Id="rId18" Type="http://schemas.openxmlformats.org/officeDocument/2006/relationships/hyperlink" Target="https://en.wikipedia.org/wiki/Shanghai_Stock_Exchange" TargetMode="External"/><Relationship Id="rId113" Type="http://schemas.openxmlformats.org/officeDocument/2006/relationships/hyperlink" Target="https://en.wikipedia.org/wiki/SIX_Swiss_Exchange" TargetMode="External"/><Relationship Id="rId112" Type="http://schemas.openxmlformats.org/officeDocument/2006/relationships/hyperlink" Target="https://en.wikipedia.org/wiki/Hong_Kong_Stock_Exchange" TargetMode="External"/><Relationship Id="rId111" Type="http://schemas.openxmlformats.org/officeDocument/2006/relationships/hyperlink" Target="https://en.wikipedia.org/wiki/National_Stock_Exchange_of_India" TargetMode="External"/><Relationship Id="rId84" Type="http://schemas.openxmlformats.org/officeDocument/2006/relationships/hyperlink" Target="https://en.wikipedia.org/wiki/Deutsche_B%C3%B6rse" TargetMode="External"/><Relationship Id="rId83" Type="http://schemas.openxmlformats.org/officeDocument/2006/relationships/hyperlink" Target="https://en.wikipedia.org/wiki/Nasdaq_Nordic" TargetMode="External"/><Relationship Id="rId86" Type="http://schemas.openxmlformats.org/officeDocument/2006/relationships/hyperlink" Target="https://en.wikipedia.org/wiki/Euronext" TargetMode="External"/><Relationship Id="rId85" Type="http://schemas.openxmlformats.org/officeDocument/2006/relationships/hyperlink" Target="https://en.wikipedia.org/wiki/National_Stock_Exchange_of_India" TargetMode="External"/><Relationship Id="rId88" Type="http://schemas.openxmlformats.org/officeDocument/2006/relationships/hyperlink" Target="https://en.wikipedia.org/wiki/B3_(stock_exchange)" TargetMode="External"/><Relationship Id="rId150" Type="http://schemas.openxmlformats.org/officeDocument/2006/relationships/hyperlink" Target="https://en.wikipedia.org/wiki/B3_(stock_exchange)" TargetMode="External"/><Relationship Id="rId87" Type="http://schemas.openxmlformats.org/officeDocument/2006/relationships/hyperlink" Target="https://en.wikipedia.org/wiki/Bombay_Stock_Exchange" TargetMode="External"/><Relationship Id="rId89" Type="http://schemas.openxmlformats.org/officeDocument/2006/relationships/hyperlink" Target="https://en.wikipedia.org/wiki/New_York_Stock_Exchange" TargetMode="External"/><Relationship Id="rId80" Type="http://schemas.openxmlformats.org/officeDocument/2006/relationships/hyperlink" Target="https://en.wikipedia.org/wiki/Shanghai_Stock_Exchange" TargetMode="External"/><Relationship Id="rId82" Type="http://schemas.openxmlformats.org/officeDocument/2006/relationships/hyperlink" Target="https://en.wikipedia.org/wiki/Nasdaq" TargetMode="External"/><Relationship Id="rId81" Type="http://schemas.openxmlformats.org/officeDocument/2006/relationships/hyperlink" Target="https://en.wikipedia.org/wiki/Nasdaq_Nordic" TargetMode="External"/><Relationship Id="rId1" Type="http://schemas.openxmlformats.org/officeDocument/2006/relationships/hyperlink" Target="https://en.wikipedia.org/wiki/Bombay_Stock_Exchange" TargetMode="External"/><Relationship Id="rId2" Type="http://schemas.openxmlformats.org/officeDocument/2006/relationships/hyperlink" Target="https://en.wikipedia.org/wiki/Tehran_Stock_Exchange" TargetMode="External"/><Relationship Id="rId3" Type="http://schemas.openxmlformats.org/officeDocument/2006/relationships/hyperlink" Target="https://en.wikipedia.org/wiki/National_Stock_Exchange_of_India" TargetMode="External"/><Relationship Id="rId149" Type="http://schemas.openxmlformats.org/officeDocument/2006/relationships/hyperlink" Target="https://en.wikipedia.org/wiki/Toronto_Stock_Exchange" TargetMode="External"/><Relationship Id="rId4" Type="http://schemas.openxmlformats.org/officeDocument/2006/relationships/hyperlink" Target="https://en.wikipedia.org/wiki/SIX_Swiss_Exchange" TargetMode="External"/><Relationship Id="rId148" Type="http://schemas.openxmlformats.org/officeDocument/2006/relationships/hyperlink" Target="https://en.wikipedia.org/wiki/Shanghai_Stock_Exchange" TargetMode="External"/><Relationship Id="rId9" Type="http://schemas.openxmlformats.org/officeDocument/2006/relationships/hyperlink" Target="https://en.wikipedia.org/wiki/Toronto_Stock_Exchange" TargetMode="External"/><Relationship Id="rId143" Type="http://schemas.openxmlformats.org/officeDocument/2006/relationships/hyperlink" Target="https://en.wikipedia.org/wiki/Deutsche_B%C3%B6rse" TargetMode="External"/><Relationship Id="rId142" Type="http://schemas.openxmlformats.org/officeDocument/2006/relationships/hyperlink" Target="https://en.wikipedia.org/wiki/Shenzhen_Stock_Exchange" TargetMode="External"/><Relationship Id="rId141" Type="http://schemas.openxmlformats.org/officeDocument/2006/relationships/hyperlink" Target="https://en.wikipedia.org/wiki/Shenzhen_Stock_Exchange" TargetMode="External"/><Relationship Id="rId140" Type="http://schemas.openxmlformats.org/officeDocument/2006/relationships/hyperlink" Target="https://en.wikipedia.org/wiki/Deutsche_B%C3%B6rse" TargetMode="External"/><Relationship Id="rId5" Type="http://schemas.openxmlformats.org/officeDocument/2006/relationships/hyperlink" Target="https://en.wikipedia.org/wiki/Bombay_Stock_Exchange" TargetMode="External"/><Relationship Id="rId147" Type="http://schemas.openxmlformats.org/officeDocument/2006/relationships/hyperlink" Target="https://en.wikipedia.org/wiki/Nasdaq" TargetMode="External"/><Relationship Id="rId6" Type="http://schemas.openxmlformats.org/officeDocument/2006/relationships/hyperlink" Target="https://en.wikipedia.org/wiki/Euronext" TargetMode="External"/><Relationship Id="rId146" Type="http://schemas.openxmlformats.org/officeDocument/2006/relationships/hyperlink" Target="https://en.wikipedia.org/wiki/Tadawul" TargetMode="External"/><Relationship Id="rId7" Type="http://schemas.openxmlformats.org/officeDocument/2006/relationships/hyperlink" Target="https://en.wikipedia.org/wiki/Korea_Exchange" TargetMode="External"/><Relationship Id="rId145" Type="http://schemas.openxmlformats.org/officeDocument/2006/relationships/hyperlink" Target="https://en.wikipedia.org/wiki/Bombay_Stock_Exchange" TargetMode="External"/><Relationship Id="rId8" Type="http://schemas.openxmlformats.org/officeDocument/2006/relationships/hyperlink" Target="https://en.wikipedia.org/wiki/JSE_Limited" TargetMode="External"/><Relationship Id="rId144" Type="http://schemas.openxmlformats.org/officeDocument/2006/relationships/hyperlink" Target="https://en.wikipedia.org/wiki/Bombay_Stock_Exchange" TargetMode="External"/><Relationship Id="rId73" Type="http://schemas.openxmlformats.org/officeDocument/2006/relationships/hyperlink" Target="https://en.wikipedia.org/wiki/B3_(stock_exchange)" TargetMode="External"/><Relationship Id="rId72" Type="http://schemas.openxmlformats.org/officeDocument/2006/relationships/hyperlink" Target="https://en.wikipedia.org/wiki/SIX_Swiss_Exchange" TargetMode="External"/><Relationship Id="rId75" Type="http://schemas.openxmlformats.org/officeDocument/2006/relationships/hyperlink" Target="https://en.wikipedia.org/wiki/Deutsche_B%C3%B6rse" TargetMode="External"/><Relationship Id="rId74" Type="http://schemas.openxmlformats.org/officeDocument/2006/relationships/hyperlink" Target="https://en.wikipedia.org/wiki/National_Stock_Exchange_of_India" TargetMode="External"/><Relationship Id="rId77" Type="http://schemas.openxmlformats.org/officeDocument/2006/relationships/hyperlink" Target="https://en.wikipedia.org/wiki/Taiwan_Stock_Exchange" TargetMode="External"/><Relationship Id="rId76" Type="http://schemas.openxmlformats.org/officeDocument/2006/relationships/hyperlink" Target="https://en.wikipedia.org/wiki/B3_(stock_exchange)" TargetMode="External"/><Relationship Id="rId79" Type="http://schemas.openxmlformats.org/officeDocument/2006/relationships/hyperlink" Target="https://en.wikipedia.org/wiki/Japan_Exchange_Group" TargetMode="External"/><Relationship Id="rId78" Type="http://schemas.openxmlformats.org/officeDocument/2006/relationships/hyperlink" Target="https://en.wikipedia.org/wiki/Bombay_Stock_Exchange" TargetMode="External"/><Relationship Id="rId71" Type="http://schemas.openxmlformats.org/officeDocument/2006/relationships/hyperlink" Target="https://en.wikipedia.org/wiki/Euronext" TargetMode="External"/><Relationship Id="rId70" Type="http://schemas.openxmlformats.org/officeDocument/2006/relationships/hyperlink" Target="https://en.wikipedia.org/wiki/Hong_Kong_Stock_Exchange" TargetMode="External"/><Relationship Id="rId139" Type="http://schemas.openxmlformats.org/officeDocument/2006/relationships/hyperlink" Target="https://en.wikipedia.org/wiki/Tehran_Stock_Exchange" TargetMode="External"/><Relationship Id="rId138" Type="http://schemas.openxmlformats.org/officeDocument/2006/relationships/hyperlink" Target="https://en.wikipedia.org/wiki/B3_(stock_exchange)" TargetMode="External"/><Relationship Id="rId137" Type="http://schemas.openxmlformats.org/officeDocument/2006/relationships/hyperlink" Target="https://en.wikipedia.org/wiki/Korea_Exchange" TargetMode="External"/><Relationship Id="rId132" Type="http://schemas.openxmlformats.org/officeDocument/2006/relationships/hyperlink" Target="https://en.wikipedia.org/wiki/Shenzhen_Stock_Exchange" TargetMode="External"/><Relationship Id="rId131" Type="http://schemas.openxmlformats.org/officeDocument/2006/relationships/hyperlink" Target="https://en.wikipedia.org/wiki/Toronto_Stock_Exchange" TargetMode="External"/><Relationship Id="rId130" Type="http://schemas.openxmlformats.org/officeDocument/2006/relationships/hyperlink" Target="https://en.wikipedia.org/wiki/Nasdaq_Nordic" TargetMode="External"/><Relationship Id="rId136" Type="http://schemas.openxmlformats.org/officeDocument/2006/relationships/hyperlink" Target="https://en.wikipedia.org/wiki/London_Stock_Exchange" TargetMode="External"/><Relationship Id="rId135" Type="http://schemas.openxmlformats.org/officeDocument/2006/relationships/hyperlink" Target="https://en.wikipedia.org/wiki/JSE_Limited" TargetMode="External"/><Relationship Id="rId134" Type="http://schemas.openxmlformats.org/officeDocument/2006/relationships/hyperlink" Target="https://en.wikipedia.org/wiki/Shenzhen_Stock_Exchange" TargetMode="External"/><Relationship Id="rId133" Type="http://schemas.openxmlformats.org/officeDocument/2006/relationships/hyperlink" Target="https://en.wikipedia.org/wiki/Nasdaq_Nordic" TargetMode="External"/><Relationship Id="rId62" Type="http://schemas.openxmlformats.org/officeDocument/2006/relationships/hyperlink" Target="https://en.wikipedia.org/wiki/B3_(stock_exchange)" TargetMode="External"/><Relationship Id="rId61" Type="http://schemas.openxmlformats.org/officeDocument/2006/relationships/hyperlink" Target="https://en.wikipedia.org/wiki/Tehran_Stock_Exchange" TargetMode="External"/><Relationship Id="rId64" Type="http://schemas.openxmlformats.org/officeDocument/2006/relationships/hyperlink" Target="https://en.wikipedia.org/wiki/JSE_Limited" TargetMode="External"/><Relationship Id="rId63" Type="http://schemas.openxmlformats.org/officeDocument/2006/relationships/hyperlink" Target="https://en.wikipedia.org/wiki/Deutsche_B%C3%B6rse" TargetMode="External"/><Relationship Id="rId66" Type="http://schemas.openxmlformats.org/officeDocument/2006/relationships/hyperlink" Target="https://en.wikipedia.org/wiki/B3_(stock_exchange)" TargetMode="External"/><Relationship Id="rId172" Type="http://schemas.openxmlformats.org/officeDocument/2006/relationships/hyperlink" Target="https://en.wikipedia.org/wiki/JSE_Limited" TargetMode="External"/><Relationship Id="rId65" Type="http://schemas.openxmlformats.org/officeDocument/2006/relationships/hyperlink" Target="https://en.wikipedia.org/wiki/Shenzhen_Stock_Exchange" TargetMode="External"/><Relationship Id="rId171" Type="http://schemas.openxmlformats.org/officeDocument/2006/relationships/hyperlink" Target="https://en.wikipedia.org/wiki/National_Stock_Exchange_of_India" TargetMode="External"/><Relationship Id="rId68" Type="http://schemas.openxmlformats.org/officeDocument/2006/relationships/hyperlink" Target="https://en.wikipedia.org/wiki/Bombay_Stock_Exchange" TargetMode="External"/><Relationship Id="rId170" Type="http://schemas.openxmlformats.org/officeDocument/2006/relationships/hyperlink" Target="https://en.wikipedia.org/wiki/Taiwan_Stock_Exchange" TargetMode="External"/><Relationship Id="rId67" Type="http://schemas.openxmlformats.org/officeDocument/2006/relationships/hyperlink" Target="https://en.wikipedia.org/wiki/New_York_Stock_Exchange" TargetMode="External"/><Relationship Id="rId60" Type="http://schemas.openxmlformats.org/officeDocument/2006/relationships/hyperlink" Target="https://en.wikipedia.org/wiki/Tadawul" TargetMode="External"/><Relationship Id="rId165" Type="http://schemas.openxmlformats.org/officeDocument/2006/relationships/hyperlink" Target="https://en.wikipedia.org/wiki/Tehran_Stock_Exchange" TargetMode="External"/><Relationship Id="rId69" Type="http://schemas.openxmlformats.org/officeDocument/2006/relationships/hyperlink" Target="https://en.wikipedia.org/wiki/Nasdaq" TargetMode="External"/><Relationship Id="rId164" Type="http://schemas.openxmlformats.org/officeDocument/2006/relationships/hyperlink" Target="https://en.wikipedia.org/wiki/New_York_Stock_Exchange" TargetMode="External"/><Relationship Id="rId163" Type="http://schemas.openxmlformats.org/officeDocument/2006/relationships/hyperlink" Target="https://en.wikipedia.org/wiki/Deutsche_B%C3%B6rse" TargetMode="External"/><Relationship Id="rId162" Type="http://schemas.openxmlformats.org/officeDocument/2006/relationships/hyperlink" Target="https://en.wikipedia.org/wiki/Shanghai_Stock_Exchange" TargetMode="External"/><Relationship Id="rId169" Type="http://schemas.openxmlformats.org/officeDocument/2006/relationships/hyperlink" Target="https://en.wikipedia.org/wiki/Tadawul" TargetMode="External"/><Relationship Id="rId168" Type="http://schemas.openxmlformats.org/officeDocument/2006/relationships/hyperlink" Target="https://en.wikipedia.org/wiki/Tadawul" TargetMode="External"/><Relationship Id="rId167" Type="http://schemas.openxmlformats.org/officeDocument/2006/relationships/hyperlink" Target="https://en.wikipedia.org/wiki/Tadawul" TargetMode="External"/><Relationship Id="rId166" Type="http://schemas.openxmlformats.org/officeDocument/2006/relationships/hyperlink" Target="https://en.wikipedia.org/wiki/New_York_Stock_Exchange" TargetMode="External"/><Relationship Id="rId51" Type="http://schemas.openxmlformats.org/officeDocument/2006/relationships/hyperlink" Target="https://en.wikipedia.org/wiki/Nasdaq" TargetMode="External"/><Relationship Id="rId50" Type="http://schemas.openxmlformats.org/officeDocument/2006/relationships/hyperlink" Target="https://en.wikipedia.org/wiki/London_Stock_Exchange" TargetMode="External"/><Relationship Id="rId53" Type="http://schemas.openxmlformats.org/officeDocument/2006/relationships/hyperlink" Target="https://en.wikipedia.org/wiki/SIX_Swiss_Exchange" TargetMode="External"/><Relationship Id="rId52" Type="http://schemas.openxmlformats.org/officeDocument/2006/relationships/hyperlink" Target="https://en.wikipedia.org/wiki/SIX_Swiss_Exchange" TargetMode="External"/><Relationship Id="rId55" Type="http://schemas.openxmlformats.org/officeDocument/2006/relationships/hyperlink" Target="https://en.wikipedia.org/wiki/Korea_Exchange" TargetMode="External"/><Relationship Id="rId161" Type="http://schemas.openxmlformats.org/officeDocument/2006/relationships/hyperlink" Target="https://en.wikipedia.org/wiki/Nasdaq_Nordic" TargetMode="External"/><Relationship Id="rId54" Type="http://schemas.openxmlformats.org/officeDocument/2006/relationships/hyperlink" Target="https://en.wikipedia.org/wiki/London_Stock_Exchange" TargetMode="External"/><Relationship Id="rId160" Type="http://schemas.openxmlformats.org/officeDocument/2006/relationships/hyperlink" Target="https://en.wikipedia.org/wiki/Japan_Exchange_Group" TargetMode="External"/><Relationship Id="rId57" Type="http://schemas.openxmlformats.org/officeDocument/2006/relationships/hyperlink" Target="https://en.wikipedia.org/wiki/Japan_Exchange_Group" TargetMode="External"/><Relationship Id="rId56" Type="http://schemas.openxmlformats.org/officeDocument/2006/relationships/hyperlink" Target="https://en.wikipedia.org/wiki/JSE_Limited" TargetMode="External"/><Relationship Id="rId159" Type="http://schemas.openxmlformats.org/officeDocument/2006/relationships/hyperlink" Target="https://en.wikipedia.org/wiki/SIX_Swiss_Exchange" TargetMode="External"/><Relationship Id="rId59" Type="http://schemas.openxmlformats.org/officeDocument/2006/relationships/hyperlink" Target="https://en.wikipedia.org/wiki/Deutsche_B%C3%B6rse" TargetMode="External"/><Relationship Id="rId154" Type="http://schemas.openxmlformats.org/officeDocument/2006/relationships/hyperlink" Target="https://en.wikipedia.org/wiki/New_York_Stock_Exchange" TargetMode="External"/><Relationship Id="rId58" Type="http://schemas.openxmlformats.org/officeDocument/2006/relationships/hyperlink" Target="https://en.wikipedia.org/wiki/Shenzhen_Stock_Exchange" TargetMode="External"/><Relationship Id="rId153" Type="http://schemas.openxmlformats.org/officeDocument/2006/relationships/hyperlink" Target="https://en.wikipedia.org/wiki/Euronext" TargetMode="External"/><Relationship Id="rId152" Type="http://schemas.openxmlformats.org/officeDocument/2006/relationships/hyperlink" Target="https://en.wikipedia.org/wiki/Shanghai_Stock_Exchange" TargetMode="External"/><Relationship Id="rId151" Type="http://schemas.openxmlformats.org/officeDocument/2006/relationships/hyperlink" Target="https://en.wikipedia.org/wiki/Bombay_Stock_Exchange" TargetMode="External"/><Relationship Id="rId158" Type="http://schemas.openxmlformats.org/officeDocument/2006/relationships/hyperlink" Target="https://en.wikipedia.org/wiki/Shanghai_Stock_Exchange" TargetMode="External"/><Relationship Id="rId157" Type="http://schemas.openxmlformats.org/officeDocument/2006/relationships/hyperlink" Target="https://en.wikipedia.org/wiki/Korea_Exchange" TargetMode="External"/><Relationship Id="rId156" Type="http://schemas.openxmlformats.org/officeDocument/2006/relationships/hyperlink" Target="https://en.wikipedia.org/wiki/Korea_Exchange" TargetMode="External"/><Relationship Id="rId155" Type="http://schemas.openxmlformats.org/officeDocument/2006/relationships/hyperlink" Target="https://en.wikipedia.org/wiki/London_Stock_Exchang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1.0"/>
    <col customWidth="1" min="2" max="2" width="29.63"/>
    <col customWidth="1" min="3" max="3" width="11.0"/>
    <col customWidth="1" min="4" max="4" width="12.5"/>
    <col customWidth="1" min="5" max="5" width="11.0"/>
    <col customWidth="1" min="6" max="6" width="12.0"/>
    <col customWidth="1" min="7" max="26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ht="15.75" customHeight="1">
      <c r="A2" s="3" t="s">
        <v>8</v>
      </c>
      <c r="B2" s="4" t="s">
        <v>9</v>
      </c>
      <c r="C2" s="5" t="s">
        <v>10</v>
      </c>
      <c r="D2" s="6">
        <v>44841.0</v>
      </c>
      <c r="E2" s="7">
        <v>7.0</v>
      </c>
      <c r="F2" s="7">
        <v>0.283185471125018</v>
      </c>
      <c r="G2" s="6">
        <v>45092.0</v>
      </c>
      <c r="H2" s="7">
        <v>0.557129814707503</v>
      </c>
      <c r="I2" s="8"/>
    </row>
    <row r="3" ht="15.75" customHeight="1">
      <c r="A3" s="9" t="s">
        <v>11</v>
      </c>
      <c r="B3" s="4" t="s">
        <v>12</v>
      </c>
      <c r="C3" s="5" t="s">
        <v>13</v>
      </c>
      <c r="D3" s="6">
        <v>44200.0</v>
      </c>
      <c r="E3" s="7">
        <v>2.0</v>
      </c>
      <c r="F3" s="7">
        <v>0.64142747007026</v>
      </c>
      <c r="G3" s="6">
        <v>45039.0</v>
      </c>
      <c r="H3" s="7">
        <v>0.889835978885113</v>
      </c>
      <c r="I3" s="8"/>
    </row>
    <row r="4" ht="15.75" customHeight="1">
      <c r="A4" s="9" t="s">
        <v>14</v>
      </c>
      <c r="B4" s="4" t="s">
        <v>15</v>
      </c>
      <c r="C4" s="5" t="s">
        <v>10</v>
      </c>
      <c r="D4" s="6">
        <v>44519.0</v>
      </c>
      <c r="E4" s="7">
        <v>6.0</v>
      </c>
      <c r="F4" s="7">
        <v>0.980928179965171</v>
      </c>
      <c r="G4" s="6">
        <v>44968.0</v>
      </c>
      <c r="H4" s="7">
        <v>0.722563126997592</v>
      </c>
      <c r="I4" s="8"/>
    </row>
    <row r="5" ht="15.75" customHeight="1">
      <c r="A5" s="9" t="s">
        <v>16</v>
      </c>
      <c r="B5" s="4" t="s">
        <v>17</v>
      </c>
      <c r="C5" s="5" t="s">
        <v>18</v>
      </c>
      <c r="D5" s="6">
        <v>44664.0</v>
      </c>
      <c r="E5" s="7">
        <v>1.0</v>
      </c>
      <c r="F5" s="7">
        <v>0.460275296095172</v>
      </c>
      <c r="G5" s="6">
        <v>44971.0</v>
      </c>
      <c r="H5" s="7">
        <v>0.827931695832585</v>
      </c>
      <c r="I5" s="8"/>
    </row>
    <row r="6" ht="15.75" customHeight="1">
      <c r="A6" s="9" t="s">
        <v>19</v>
      </c>
      <c r="B6" s="4" t="s">
        <v>9</v>
      </c>
      <c r="C6" s="5" t="s">
        <v>10</v>
      </c>
      <c r="D6" s="6">
        <v>44351.0</v>
      </c>
      <c r="E6" s="7">
        <v>9.0</v>
      </c>
      <c r="F6" s="7">
        <v>0.551798449902167</v>
      </c>
      <c r="G6" s="6">
        <v>44977.0</v>
      </c>
      <c r="H6" s="7">
        <v>0.197897864469418</v>
      </c>
      <c r="I6" s="8"/>
    </row>
    <row r="7" ht="15.75" customHeight="1">
      <c r="A7" s="9" t="s">
        <v>20</v>
      </c>
      <c r="B7" s="4" t="s">
        <v>21</v>
      </c>
      <c r="C7" s="5" t="s">
        <v>22</v>
      </c>
      <c r="D7" s="6">
        <v>44529.0</v>
      </c>
      <c r="E7" s="7">
        <v>1.0</v>
      </c>
      <c r="F7" s="7">
        <v>0.303868488670187</v>
      </c>
      <c r="G7" s="6">
        <v>44969.0</v>
      </c>
      <c r="H7" s="7">
        <v>0.978144126565902</v>
      </c>
      <c r="I7" s="8"/>
    </row>
    <row r="8" ht="15.75" customHeight="1">
      <c r="A8" s="9" t="s">
        <v>23</v>
      </c>
      <c r="B8" s="4" t="s">
        <v>24</v>
      </c>
      <c r="C8" s="5" t="s">
        <v>25</v>
      </c>
      <c r="D8" s="6">
        <v>44500.0</v>
      </c>
      <c r="E8" s="7">
        <v>3.0</v>
      </c>
      <c r="F8" s="7">
        <v>0.100945559071712</v>
      </c>
      <c r="G8" s="6">
        <v>44930.0</v>
      </c>
      <c r="H8" s="7">
        <v>0.407405377776074</v>
      </c>
      <c r="I8" s="8"/>
    </row>
    <row r="9" ht="15.75" customHeight="1">
      <c r="A9" s="9" t="s">
        <v>26</v>
      </c>
      <c r="B9" s="4" t="s">
        <v>27</v>
      </c>
      <c r="C9" s="5" t="s">
        <v>28</v>
      </c>
      <c r="D9" s="6">
        <v>44584.0</v>
      </c>
      <c r="E9" s="7">
        <v>4.0</v>
      </c>
      <c r="F9" s="7">
        <v>0.136520697850584</v>
      </c>
      <c r="G9" s="6">
        <v>44991.0</v>
      </c>
      <c r="H9" s="7">
        <v>0.389690571067726</v>
      </c>
      <c r="I9" s="8"/>
    </row>
    <row r="10" ht="15.75" customHeight="1">
      <c r="A10" s="9" t="s">
        <v>29</v>
      </c>
      <c r="B10" s="4" t="s">
        <v>30</v>
      </c>
      <c r="C10" s="5" t="s">
        <v>31</v>
      </c>
      <c r="D10" s="6">
        <v>44472.0</v>
      </c>
      <c r="E10" s="7">
        <v>10.0</v>
      </c>
      <c r="F10" s="7">
        <v>0.416704392360036</v>
      </c>
      <c r="G10" s="6">
        <v>45045.0</v>
      </c>
      <c r="H10" s="7">
        <v>0.549345082878773</v>
      </c>
      <c r="I10" s="8"/>
    </row>
    <row r="11" ht="15.75" customHeight="1">
      <c r="A11" s="9" t="s">
        <v>32</v>
      </c>
      <c r="B11" s="4" t="s">
        <v>21</v>
      </c>
      <c r="C11" s="5" t="s">
        <v>22</v>
      </c>
      <c r="D11" s="6">
        <v>44587.0</v>
      </c>
      <c r="E11" s="7">
        <v>6.0</v>
      </c>
      <c r="F11" s="7">
        <v>0.243169868912455</v>
      </c>
      <c r="G11" s="6">
        <v>44987.0</v>
      </c>
      <c r="H11" s="7">
        <v>0.420232824731951</v>
      </c>
      <c r="I11" s="8"/>
    </row>
    <row r="12" ht="15.75" customHeight="1">
      <c r="A12" s="9" t="s">
        <v>33</v>
      </c>
      <c r="B12" s="4" t="s">
        <v>34</v>
      </c>
      <c r="C12" s="5" t="s">
        <v>35</v>
      </c>
      <c r="D12" s="6">
        <v>44407.0</v>
      </c>
      <c r="E12" s="7">
        <v>5.0</v>
      </c>
      <c r="F12" s="7">
        <v>0.800793833861617</v>
      </c>
      <c r="G12" s="6">
        <v>44996.0</v>
      </c>
      <c r="H12" s="7">
        <v>0.896662295291004</v>
      </c>
      <c r="I12" s="8"/>
    </row>
    <row r="13" ht="15.75" customHeight="1">
      <c r="A13" s="9" t="s">
        <v>36</v>
      </c>
      <c r="B13" s="4" t="s">
        <v>9</v>
      </c>
      <c r="C13" s="5" t="s">
        <v>10</v>
      </c>
      <c r="D13" s="6">
        <v>44543.0</v>
      </c>
      <c r="E13" s="7">
        <v>10.0</v>
      </c>
      <c r="F13" s="7">
        <v>0.638981266676107</v>
      </c>
      <c r="G13" s="6">
        <v>45031.0</v>
      </c>
      <c r="H13" s="7">
        <v>0.774967216999858</v>
      </c>
      <c r="I13" s="8"/>
    </row>
    <row r="14" ht="15.75" customHeight="1">
      <c r="A14" s="9" t="s">
        <v>37</v>
      </c>
      <c r="B14" s="4" t="s">
        <v>9</v>
      </c>
      <c r="C14" s="5" t="s">
        <v>10</v>
      </c>
      <c r="D14" s="6">
        <v>44925.0</v>
      </c>
      <c r="E14" s="7">
        <v>8.0</v>
      </c>
      <c r="F14" s="7">
        <v>0.346254189586027</v>
      </c>
      <c r="G14" s="6">
        <v>45034.0</v>
      </c>
      <c r="H14" s="7">
        <v>0.710650526333962</v>
      </c>
      <c r="I14" s="8"/>
    </row>
    <row r="15" ht="15.75" customHeight="1">
      <c r="A15" s="9" t="s">
        <v>38</v>
      </c>
      <c r="B15" s="4" t="s">
        <v>39</v>
      </c>
      <c r="C15" s="5" t="s">
        <v>40</v>
      </c>
      <c r="D15" s="6">
        <v>44355.0</v>
      </c>
      <c r="E15" s="7">
        <v>6.0</v>
      </c>
      <c r="F15" s="7">
        <v>0.365847586541879</v>
      </c>
      <c r="G15" s="6">
        <v>45023.0</v>
      </c>
      <c r="H15" s="7">
        <v>0.45311698845143</v>
      </c>
      <c r="I15" s="8"/>
    </row>
    <row r="16" ht="15.75" customHeight="1">
      <c r="A16" s="9" t="s">
        <v>41</v>
      </c>
      <c r="B16" s="4" t="s">
        <v>27</v>
      </c>
      <c r="C16" s="5" t="s">
        <v>28</v>
      </c>
      <c r="D16" s="6">
        <v>44710.0</v>
      </c>
      <c r="E16" s="7">
        <v>6.0</v>
      </c>
      <c r="F16" s="7">
        <v>0.379060395757914</v>
      </c>
      <c r="G16" s="6">
        <v>44977.0</v>
      </c>
      <c r="H16" s="7">
        <v>0.316162077222756</v>
      </c>
      <c r="I16" s="8"/>
    </row>
    <row r="17" ht="15.75" customHeight="1">
      <c r="A17" s="9" t="s">
        <v>42</v>
      </c>
      <c r="B17" s="4" t="s">
        <v>43</v>
      </c>
      <c r="C17" s="5" t="s">
        <v>44</v>
      </c>
      <c r="D17" s="6">
        <v>44922.0</v>
      </c>
      <c r="E17" s="7">
        <v>8.0</v>
      </c>
      <c r="F17" s="7">
        <v>0.728952142903111</v>
      </c>
      <c r="G17" s="6">
        <v>45000.0</v>
      </c>
      <c r="H17" s="7">
        <v>0.224180044105341</v>
      </c>
      <c r="I17" s="8"/>
    </row>
    <row r="18" ht="15.75" customHeight="1">
      <c r="A18" s="9" t="s">
        <v>45</v>
      </c>
      <c r="B18" s="4" t="s">
        <v>46</v>
      </c>
      <c r="C18" s="5" t="s">
        <v>47</v>
      </c>
      <c r="D18" s="6">
        <v>44294.0</v>
      </c>
      <c r="E18" s="7">
        <v>5.0</v>
      </c>
      <c r="F18" s="7">
        <v>0.422020751021509</v>
      </c>
      <c r="G18" s="6">
        <v>45056.0</v>
      </c>
      <c r="H18" s="7">
        <v>0.387931565439411</v>
      </c>
      <c r="I18" s="8"/>
    </row>
    <row r="19" ht="15.75" customHeight="1">
      <c r="A19" s="9" t="s">
        <v>48</v>
      </c>
      <c r="B19" s="4" t="s">
        <v>49</v>
      </c>
      <c r="C19" s="5" t="s">
        <v>50</v>
      </c>
      <c r="D19" s="6">
        <v>44341.0</v>
      </c>
      <c r="E19" s="7">
        <v>4.0</v>
      </c>
      <c r="F19" s="7">
        <v>0.221183884694959</v>
      </c>
      <c r="G19" s="6">
        <v>44964.0</v>
      </c>
      <c r="H19" s="7">
        <v>0.331888631519317</v>
      </c>
      <c r="I19" s="8"/>
    </row>
    <row r="20" ht="15.75" customHeight="1">
      <c r="A20" s="9" t="s">
        <v>51</v>
      </c>
      <c r="B20" s="4" t="s">
        <v>15</v>
      </c>
      <c r="C20" s="5" t="s">
        <v>10</v>
      </c>
      <c r="D20" s="6">
        <v>44205.0</v>
      </c>
      <c r="E20" s="7">
        <v>1.0</v>
      </c>
      <c r="F20" s="7">
        <v>0.336080499573195</v>
      </c>
      <c r="G20" s="6">
        <v>45067.0</v>
      </c>
      <c r="H20" s="7">
        <v>0.632173644236244</v>
      </c>
      <c r="I20" s="8"/>
    </row>
    <row r="21" ht="15.75" customHeight="1">
      <c r="A21" s="9" t="s">
        <v>52</v>
      </c>
      <c r="B21" s="4" t="s">
        <v>43</v>
      </c>
      <c r="C21" s="5" t="s">
        <v>44</v>
      </c>
      <c r="D21" s="6">
        <v>44385.0</v>
      </c>
      <c r="E21" s="7">
        <v>1.0</v>
      </c>
      <c r="F21" s="7">
        <v>0.668799241374565</v>
      </c>
      <c r="G21" s="6">
        <v>45019.0</v>
      </c>
      <c r="H21" s="7">
        <v>0.970503690554218</v>
      </c>
      <c r="I21" s="8"/>
    </row>
    <row r="22" ht="15.75" customHeight="1">
      <c r="A22" s="9" t="s">
        <v>53</v>
      </c>
      <c r="B22" s="4" t="s">
        <v>54</v>
      </c>
      <c r="C22" s="5" t="s">
        <v>55</v>
      </c>
      <c r="D22" s="6">
        <v>44418.0</v>
      </c>
      <c r="E22" s="7">
        <v>1.0</v>
      </c>
      <c r="F22" s="7">
        <v>0.948553714142011</v>
      </c>
      <c r="G22" s="6">
        <v>44964.0</v>
      </c>
      <c r="H22" s="7">
        <v>0.335795433783181</v>
      </c>
      <c r="I22" s="8"/>
    </row>
    <row r="23" ht="15.75" customHeight="1">
      <c r="A23" s="9" t="s">
        <v>56</v>
      </c>
      <c r="B23" s="4" t="s">
        <v>9</v>
      </c>
      <c r="C23" s="5" t="s">
        <v>10</v>
      </c>
      <c r="D23" s="6">
        <v>44303.0</v>
      </c>
      <c r="E23" s="7">
        <v>9.0</v>
      </c>
      <c r="F23" s="7">
        <v>0.840087707876044</v>
      </c>
      <c r="G23" s="6">
        <v>45011.0</v>
      </c>
      <c r="H23" s="7">
        <v>0.552471391863244</v>
      </c>
      <c r="I23" s="8"/>
    </row>
    <row r="24" ht="15.75" customHeight="1">
      <c r="A24" s="9" t="s">
        <v>57</v>
      </c>
      <c r="B24" s="4" t="s">
        <v>58</v>
      </c>
      <c r="C24" s="5" t="s">
        <v>59</v>
      </c>
      <c r="D24" s="6">
        <v>44469.0</v>
      </c>
      <c r="E24" s="7">
        <v>2.0</v>
      </c>
      <c r="F24" s="7">
        <v>0.00220276104081795</v>
      </c>
      <c r="G24" s="6">
        <v>45016.0</v>
      </c>
      <c r="H24" s="7">
        <v>0.382748399786328</v>
      </c>
      <c r="I24" s="8"/>
    </row>
    <row r="25" ht="15.75" customHeight="1">
      <c r="A25" s="9" t="s">
        <v>60</v>
      </c>
      <c r="B25" s="4" t="s">
        <v>61</v>
      </c>
      <c r="C25" s="5" t="s">
        <v>62</v>
      </c>
      <c r="D25" s="6">
        <v>44786.0</v>
      </c>
      <c r="E25" s="7">
        <v>3.0</v>
      </c>
      <c r="F25" s="7">
        <v>0.705207359361147</v>
      </c>
      <c r="G25" s="6">
        <v>45023.0</v>
      </c>
      <c r="H25" s="7">
        <v>0.854274260990329</v>
      </c>
      <c r="I25" s="8"/>
    </row>
    <row r="26" ht="15.75" customHeight="1">
      <c r="A26" s="9" t="s">
        <v>63</v>
      </c>
      <c r="B26" s="4" t="s">
        <v>30</v>
      </c>
      <c r="C26" s="5" t="s">
        <v>31</v>
      </c>
      <c r="D26" s="6">
        <v>44882.0</v>
      </c>
      <c r="E26" s="7">
        <v>2.0</v>
      </c>
      <c r="F26" s="7">
        <v>0.83894286337564</v>
      </c>
      <c r="G26" s="6">
        <v>44933.0</v>
      </c>
      <c r="H26" s="7">
        <v>0.676302329085393</v>
      </c>
      <c r="I26" s="8"/>
    </row>
    <row r="27" ht="15.75" customHeight="1">
      <c r="A27" s="9" t="s">
        <v>64</v>
      </c>
      <c r="B27" s="4" t="s">
        <v>58</v>
      </c>
      <c r="C27" s="5" t="s">
        <v>59</v>
      </c>
      <c r="D27" s="6">
        <v>44725.0</v>
      </c>
      <c r="E27" s="7">
        <v>8.0</v>
      </c>
      <c r="F27" s="7">
        <v>0.878897153591811</v>
      </c>
      <c r="G27" s="6">
        <v>44932.0</v>
      </c>
      <c r="H27" s="7">
        <v>0.200205569208717</v>
      </c>
      <c r="I27" s="8"/>
    </row>
    <row r="28" ht="15.75" customHeight="1">
      <c r="A28" s="9" t="s">
        <v>65</v>
      </c>
      <c r="B28" s="4" t="s">
        <v>24</v>
      </c>
      <c r="C28" s="5" t="s">
        <v>25</v>
      </c>
      <c r="D28" s="6">
        <v>44599.0</v>
      </c>
      <c r="E28" s="7">
        <v>7.0</v>
      </c>
      <c r="F28" s="7">
        <v>0.812007980125469</v>
      </c>
      <c r="G28" s="6">
        <v>45064.0</v>
      </c>
      <c r="H28" s="7">
        <v>0.261506478427586</v>
      </c>
      <c r="I28" s="8"/>
    </row>
    <row r="29" ht="15.75" customHeight="1">
      <c r="A29" s="9" t="s">
        <v>66</v>
      </c>
      <c r="B29" s="4" t="s">
        <v>9</v>
      </c>
      <c r="C29" s="5" t="s">
        <v>10</v>
      </c>
      <c r="D29" s="6">
        <v>44492.0</v>
      </c>
      <c r="E29" s="7">
        <v>1.0</v>
      </c>
      <c r="F29" s="7">
        <v>0.275547607557302</v>
      </c>
      <c r="G29" s="6">
        <v>45049.0</v>
      </c>
      <c r="H29" s="7">
        <v>0.198588092269134</v>
      </c>
      <c r="I29" s="8"/>
    </row>
    <row r="30" ht="15.75" customHeight="1">
      <c r="A30" s="9" t="s">
        <v>67</v>
      </c>
      <c r="B30" s="4" t="s">
        <v>9</v>
      </c>
      <c r="C30" s="5" t="s">
        <v>10</v>
      </c>
      <c r="D30" s="6">
        <v>44523.0</v>
      </c>
      <c r="E30" s="7">
        <v>3.0</v>
      </c>
      <c r="F30" s="7">
        <v>0.151835906769975</v>
      </c>
      <c r="G30" s="6">
        <v>45036.0</v>
      </c>
      <c r="H30" s="7">
        <v>0.962636351209341</v>
      </c>
      <c r="I30" s="8"/>
    </row>
    <row r="31" ht="15.75" customHeight="1">
      <c r="A31" s="9" t="s">
        <v>68</v>
      </c>
      <c r="B31" s="4" t="s">
        <v>34</v>
      </c>
      <c r="C31" s="5" t="s">
        <v>35</v>
      </c>
      <c r="D31" s="6">
        <v>44281.0</v>
      </c>
      <c r="E31" s="7">
        <v>1.0</v>
      </c>
      <c r="F31" s="7">
        <v>0.317516514180064</v>
      </c>
      <c r="G31" s="6">
        <v>44967.0</v>
      </c>
      <c r="H31" s="7">
        <v>0.470805051166149</v>
      </c>
      <c r="I31" s="8"/>
    </row>
    <row r="32" ht="15.75" customHeight="1">
      <c r="A32" s="9" t="s">
        <v>69</v>
      </c>
      <c r="B32" s="4" t="s">
        <v>54</v>
      </c>
      <c r="C32" s="5" t="s">
        <v>55</v>
      </c>
      <c r="D32" s="6">
        <v>44594.0</v>
      </c>
      <c r="E32" s="7">
        <v>7.0</v>
      </c>
      <c r="F32" s="7">
        <v>0.082508842921547</v>
      </c>
      <c r="G32" s="6">
        <v>44981.0</v>
      </c>
      <c r="H32" s="7">
        <v>0.907230393077288</v>
      </c>
      <c r="I32" s="8"/>
    </row>
    <row r="33" ht="15.75" customHeight="1">
      <c r="A33" s="9" t="s">
        <v>70</v>
      </c>
      <c r="B33" s="4" t="s">
        <v>71</v>
      </c>
      <c r="C33" s="5" t="s">
        <v>50</v>
      </c>
      <c r="D33" s="6">
        <v>44239.0</v>
      </c>
      <c r="E33" s="7">
        <v>9.0</v>
      </c>
      <c r="F33" s="7">
        <v>0.0384156114387026</v>
      </c>
      <c r="G33" s="6">
        <v>45034.0</v>
      </c>
      <c r="H33" s="7">
        <v>0.692145350699103</v>
      </c>
      <c r="I33" s="8"/>
    </row>
    <row r="34" ht="15.75" customHeight="1">
      <c r="A34" s="9" t="s">
        <v>72</v>
      </c>
      <c r="B34" s="4" t="s">
        <v>73</v>
      </c>
      <c r="C34" s="5" t="s">
        <v>74</v>
      </c>
      <c r="D34" s="6">
        <v>44541.0</v>
      </c>
      <c r="E34" s="7">
        <v>9.0</v>
      </c>
      <c r="F34" s="7">
        <v>0.215773738787989</v>
      </c>
      <c r="G34" s="6">
        <v>45040.0</v>
      </c>
      <c r="H34" s="7">
        <v>0.548843642416152</v>
      </c>
      <c r="I34" s="8"/>
    </row>
    <row r="35" ht="15.75" customHeight="1">
      <c r="A35" s="9" t="s">
        <v>75</v>
      </c>
      <c r="B35" s="4" t="s">
        <v>34</v>
      </c>
      <c r="C35" s="5" t="s">
        <v>35</v>
      </c>
      <c r="D35" s="6">
        <v>44446.0</v>
      </c>
      <c r="E35" s="7">
        <v>5.0</v>
      </c>
      <c r="F35" s="7">
        <v>0.725851358764367</v>
      </c>
      <c r="G35" s="6">
        <v>45053.0</v>
      </c>
      <c r="H35" s="7">
        <v>0.173994592694031</v>
      </c>
      <c r="I35" s="8"/>
    </row>
    <row r="36" ht="15.75" customHeight="1">
      <c r="A36" s="9" t="s">
        <v>76</v>
      </c>
      <c r="B36" s="4" t="s">
        <v>17</v>
      </c>
      <c r="C36" s="5" t="s">
        <v>18</v>
      </c>
      <c r="D36" s="6">
        <v>44554.0</v>
      </c>
      <c r="E36" s="7">
        <v>8.0</v>
      </c>
      <c r="F36" s="7">
        <v>0.682555700906418</v>
      </c>
      <c r="G36" s="6">
        <v>44988.0</v>
      </c>
      <c r="H36" s="7">
        <v>0.60454082217189</v>
      </c>
      <c r="I36" s="8"/>
    </row>
    <row r="37" ht="15.75" customHeight="1">
      <c r="A37" s="9" t="s">
        <v>77</v>
      </c>
      <c r="B37" s="4" t="s">
        <v>21</v>
      </c>
      <c r="C37" s="5" t="s">
        <v>22</v>
      </c>
      <c r="D37" s="6">
        <v>44198.0</v>
      </c>
      <c r="E37" s="7">
        <v>3.0</v>
      </c>
      <c r="F37" s="7">
        <v>0.801238390651373</v>
      </c>
      <c r="G37" s="6">
        <v>45049.0</v>
      </c>
      <c r="H37" s="7">
        <v>0.305276283951587</v>
      </c>
      <c r="I37" s="8"/>
    </row>
    <row r="38" ht="15.75" customHeight="1">
      <c r="A38" s="9" t="s">
        <v>78</v>
      </c>
      <c r="B38" s="4" t="s">
        <v>73</v>
      </c>
      <c r="C38" s="5" t="s">
        <v>74</v>
      </c>
      <c r="D38" s="6">
        <v>44838.0</v>
      </c>
      <c r="E38" s="7">
        <v>4.0</v>
      </c>
      <c r="F38" s="7">
        <v>0.860360525560796</v>
      </c>
      <c r="G38" s="6">
        <v>44968.0</v>
      </c>
      <c r="H38" s="7">
        <v>0.755562356138034</v>
      </c>
      <c r="I38" s="8"/>
    </row>
    <row r="39" ht="15.75" customHeight="1">
      <c r="A39" s="9" t="s">
        <v>79</v>
      </c>
      <c r="B39" s="4" t="s">
        <v>34</v>
      </c>
      <c r="C39" s="5" t="s">
        <v>35</v>
      </c>
      <c r="D39" s="6">
        <v>44503.0</v>
      </c>
      <c r="E39" s="7">
        <v>3.0</v>
      </c>
      <c r="F39" s="7">
        <v>0.894114379063621</v>
      </c>
      <c r="G39" s="6">
        <v>44951.0</v>
      </c>
      <c r="H39" s="7">
        <v>0.152367852016961</v>
      </c>
      <c r="I39" s="8"/>
    </row>
    <row r="40" ht="15.75" customHeight="1">
      <c r="A40" s="9" t="s">
        <v>80</v>
      </c>
      <c r="B40" s="4" t="s">
        <v>81</v>
      </c>
      <c r="C40" s="5" t="s">
        <v>62</v>
      </c>
      <c r="D40" s="6">
        <v>44579.0</v>
      </c>
      <c r="E40" s="7">
        <v>10.0</v>
      </c>
      <c r="F40" s="7">
        <v>0.937923169026155</v>
      </c>
      <c r="G40" s="6">
        <v>45061.0</v>
      </c>
      <c r="H40" s="7">
        <v>0.455515815160993</v>
      </c>
      <c r="I40" s="8"/>
    </row>
    <row r="41" ht="15.75" customHeight="1">
      <c r="A41" s="9" t="s">
        <v>82</v>
      </c>
      <c r="B41" s="4" t="s">
        <v>12</v>
      </c>
      <c r="C41" s="5" t="s">
        <v>13</v>
      </c>
      <c r="D41" s="6">
        <v>44898.0</v>
      </c>
      <c r="E41" s="7">
        <v>4.0</v>
      </c>
      <c r="F41" s="7">
        <v>0.707770970450346</v>
      </c>
      <c r="G41" s="6">
        <v>44969.0</v>
      </c>
      <c r="H41" s="7">
        <v>0.29010240599643</v>
      </c>
      <c r="I41" s="8"/>
    </row>
    <row r="42" ht="15.75" customHeight="1">
      <c r="A42" s="9" t="s">
        <v>83</v>
      </c>
      <c r="B42" s="4" t="s">
        <v>81</v>
      </c>
      <c r="C42" s="5" t="s">
        <v>62</v>
      </c>
      <c r="D42" s="6">
        <v>44315.0</v>
      </c>
      <c r="E42" s="7">
        <v>10.0</v>
      </c>
      <c r="F42" s="7">
        <v>0.32809052787688</v>
      </c>
      <c r="G42" s="6">
        <v>45058.0</v>
      </c>
      <c r="H42" s="7">
        <v>0.536201785293625</v>
      </c>
      <c r="I42" s="8"/>
    </row>
    <row r="43" ht="15.75" customHeight="1">
      <c r="A43" s="9" t="s">
        <v>84</v>
      </c>
      <c r="B43" s="4" t="s">
        <v>12</v>
      </c>
      <c r="C43" s="5" t="s">
        <v>13</v>
      </c>
      <c r="D43" s="6">
        <v>44921.0</v>
      </c>
      <c r="E43" s="7">
        <v>10.0</v>
      </c>
      <c r="F43" s="7">
        <v>0.201489318104605</v>
      </c>
      <c r="G43" s="6">
        <v>45027.0</v>
      </c>
      <c r="H43" s="7">
        <v>0.373469391870616</v>
      </c>
      <c r="I43" s="8"/>
    </row>
    <row r="44" ht="15.75" customHeight="1">
      <c r="A44" s="9" t="s">
        <v>85</v>
      </c>
      <c r="B44" s="4" t="s">
        <v>43</v>
      </c>
      <c r="C44" s="5" t="s">
        <v>44</v>
      </c>
      <c r="D44" s="6">
        <v>44708.0</v>
      </c>
      <c r="E44" s="7">
        <v>6.0</v>
      </c>
      <c r="F44" s="7">
        <v>0.0359937912464951</v>
      </c>
      <c r="G44" s="6">
        <v>44985.0</v>
      </c>
      <c r="H44" s="7">
        <v>0.978615395681797</v>
      </c>
      <c r="I44" s="8"/>
    </row>
    <row r="45" ht="15.75" customHeight="1">
      <c r="A45" s="9" t="s">
        <v>86</v>
      </c>
      <c r="B45" s="4" t="s">
        <v>9</v>
      </c>
      <c r="C45" s="5" t="s">
        <v>10</v>
      </c>
      <c r="D45" s="6">
        <v>44795.0</v>
      </c>
      <c r="E45" s="7">
        <v>1.0</v>
      </c>
      <c r="F45" s="7">
        <v>0.717045377441392</v>
      </c>
      <c r="G45" s="6">
        <v>45022.0</v>
      </c>
      <c r="H45" s="7">
        <v>0.162335532876504</v>
      </c>
      <c r="I45" s="8"/>
    </row>
    <row r="46" ht="15.75" customHeight="1">
      <c r="A46" s="9" t="s">
        <v>87</v>
      </c>
      <c r="B46" s="4" t="s">
        <v>49</v>
      </c>
      <c r="C46" s="5" t="s">
        <v>50</v>
      </c>
      <c r="D46" s="6">
        <v>44338.0</v>
      </c>
      <c r="E46" s="7">
        <v>9.0</v>
      </c>
      <c r="F46" s="7">
        <v>0.711558704821974</v>
      </c>
      <c r="G46" s="6">
        <v>45045.0</v>
      </c>
      <c r="H46" s="7">
        <v>0.153906505379491</v>
      </c>
      <c r="I46" s="8"/>
    </row>
    <row r="47" ht="15.75" customHeight="1">
      <c r="A47" s="9" t="s">
        <v>88</v>
      </c>
      <c r="B47" s="4" t="s">
        <v>34</v>
      </c>
      <c r="C47" s="5" t="s">
        <v>35</v>
      </c>
      <c r="D47" s="6">
        <v>44274.0</v>
      </c>
      <c r="E47" s="7">
        <v>6.0</v>
      </c>
      <c r="F47" s="7">
        <v>0.0640332236500551</v>
      </c>
      <c r="G47" s="6">
        <v>45004.0</v>
      </c>
      <c r="H47" s="7">
        <v>0.00421049986118882</v>
      </c>
      <c r="I47" s="8"/>
    </row>
    <row r="48" ht="15.75" customHeight="1">
      <c r="A48" s="9" t="s">
        <v>89</v>
      </c>
      <c r="B48" s="4" t="s">
        <v>46</v>
      </c>
      <c r="C48" s="5" t="s">
        <v>47</v>
      </c>
      <c r="D48" s="6">
        <v>44725.0</v>
      </c>
      <c r="E48" s="7">
        <v>7.0</v>
      </c>
      <c r="F48" s="7">
        <v>0.979889765781764</v>
      </c>
      <c r="G48" s="6">
        <v>45051.0</v>
      </c>
      <c r="H48" s="7">
        <v>0.0437633298337777</v>
      </c>
      <c r="I48" s="8"/>
    </row>
    <row r="49" ht="15.75" customHeight="1">
      <c r="A49" s="9" t="s">
        <v>90</v>
      </c>
      <c r="B49" s="4" t="s">
        <v>30</v>
      </c>
      <c r="C49" s="5" t="s">
        <v>31</v>
      </c>
      <c r="D49" s="6">
        <v>44340.0</v>
      </c>
      <c r="E49" s="7">
        <v>10.0</v>
      </c>
      <c r="F49" s="7">
        <v>0.702645841021446</v>
      </c>
      <c r="G49" s="6">
        <v>44928.0</v>
      </c>
      <c r="H49" s="7">
        <v>0.369783832169231</v>
      </c>
      <c r="I49" s="8"/>
    </row>
    <row r="50" ht="15.75" customHeight="1">
      <c r="A50" s="9" t="s">
        <v>91</v>
      </c>
      <c r="B50" s="4" t="s">
        <v>24</v>
      </c>
      <c r="C50" s="5" t="s">
        <v>25</v>
      </c>
      <c r="D50" s="6">
        <v>44502.0</v>
      </c>
      <c r="E50" s="7">
        <v>3.0</v>
      </c>
      <c r="F50" s="7">
        <v>0.0678603493668779</v>
      </c>
      <c r="G50" s="6">
        <v>45026.0</v>
      </c>
      <c r="H50" s="7">
        <v>0.672748215334576</v>
      </c>
      <c r="I50" s="8"/>
    </row>
    <row r="51" ht="15.75" customHeight="1">
      <c r="A51" s="9" t="s">
        <v>92</v>
      </c>
      <c r="B51" s="4" t="s">
        <v>54</v>
      </c>
      <c r="C51" s="5" t="s">
        <v>55</v>
      </c>
      <c r="D51" s="6">
        <v>44560.0</v>
      </c>
      <c r="E51" s="7">
        <v>9.0</v>
      </c>
      <c r="F51" s="7">
        <v>0.407593318710052</v>
      </c>
      <c r="G51" s="6">
        <v>44988.0</v>
      </c>
      <c r="H51" s="7">
        <v>0.638165823096959</v>
      </c>
      <c r="I51" s="8"/>
    </row>
    <row r="52" ht="15.75" customHeight="1">
      <c r="A52" s="9" t="s">
        <v>93</v>
      </c>
      <c r="B52" s="4" t="s">
        <v>61</v>
      </c>
      <c r="C52" s="5" t="s">
        <v>62</v>
      </c>
      <c r="D52" s="6">
        <v>44361.0</v>
      </c>
      <c r="E52" s="7">
        <v>4.0</v>
      </c>
      <c r="F52" s="7">
        <v>0.529206959150699</v>
      </c>
      <c r="G52" s="6">
        <v>44976.0</v>
      </c>
      <c r="H52" s="7">
        <v>0.132385528079638</v>
      </c>
      <c r="I52" s="8"/>
    </row>
    <row r="53" ht="15.75" customHeight="1">
      <c r="A53" s="9" t="s">
        <v>94</v>
      </c>
      <c r="B53" s="4" t="s">
        <v>17</v>
      </c>
      <c r="C53" s="5" t="s">
        <v>18</v>
      </c>
      <c r="D53" s="6">
        <v>44343.0</v>
      </c>
      <c r="E53" s="7">
        <v>1.0</v>
      </c>
      <c r="F53" s="7">
        <v>0.830035414272477</v>
      </c>
      <c r="G53" s="6">
        <v>44965.0</v>
      </c>
      <c r="H53" s="7">
        <v>0.52621974753425</v>
      </c>
      <c r="I53" s="8"/>
    </row>
    <row r="54" ht="15.75" customHeight="1">
      <c r="A54" s="9" t="s">
        <v>95</v>
      </c>
      <c r="B54" s="4" t="s">
        <v>17</v>
      </c>
      <c r="C54" s="5" t="s">
        <v>18</v>
      </c>
      <c r="D54" s="6">
        <v>44382.0</v>
      </c>
      <c r="E54" s="7">
        <v>9.0</v>
      </c>
      <c r="F54" s="7">
        <v>0.135037201012419</v>
      </c>
      <c r="G54" s="6">
        <v>45017.0</v>
      </c>
      <c r="H54" s="7">
        <v>0.857496270533179</v>
      </c>
      <c r="I54" s="8"/>
    </row>
    <row r="55" ht="15.75" customHeight="1">
      <c r="A55" s="9" t="s">
        <v>96</v>
      </c>
      <c r="B55" s="4" t="s">
        <v>54</v>
      </c>
      <c r="C55" s="5" t="s">
        <v>55</v>
      </c>
      <c r="D55" s="6">
        <v>44680.0</v>
      </c>
      <c r="E55" s="7">
        <v>2.0</v>
      </c>
      <c r="F55" s="7">
        <v>0.184573977536909</v>
      </c>
      <c r="G55" s="6">
        <v>45004.0</v>
      </c>
      <c r="H55" s="7">
        <v>0.740329896842198</v>
      </c>
      <c r="I55" s="8"/>
    </row>
    <row r="56" ht="15.75" customHeight="1">
      <c r="A56" s="9" t="s">
        <v>97</v>
      </c>
      <c r="B56" s="4" t="s">
        <v>24</v>
      </c>
      <c r="C56" s="5" t="s">
        <v>25</v>
      </c>
      <c r="D56" s="6">
        <v>44816.0</v>
      </c>
      <c r="E56" s="7">
        <v>7.0</v>
      </c>
      <c r="F56" s="7">
        <v>0.0148274944463797</v>
      </c>
      <c r="G56" s="6">
        <v>44978.0</v>
      </c>
      <c r="H56" s="7">
        <v>0.418330538913776</v>
      </c>
      <c r="I56" s="8"/>
    </row>
    <row r="57" ht="15.75" customHeight="1">
      <c r="A57" s="9" t="s">
        <v>98</v>
      </c>
      <c r="B57" s="4" t="s">
        <v>27</v>
      </c>
      <c r="C57" s="5" t="s">
        <v>28</v>
      </c>
      <c r="D57" s="6">
        <v>44278.0</v>
      </c>
      <c r="E57" s="7">
        <v>4.0</v>
      </c>
      <c r="F57" s="7">
        <v>0.275777656096078</v>
      </c>
      <c r="G57" s="6">
        <v>45071.0</v>
      </c>
      <c r="H57" s="7">
        <v>0.843498209907465</v>
      </c>
      <c r="I57" s="8"/>
    </row>
    <row r="58" ht="15.75" customHeight="1">
      <c r="A58" s="9" t="s">
        <v>99</v>
      </c>
      <c r="B58" s="4" t="s">
        <v>43</v>
      </c>
      <c r="C58" s="5" t="s">
        <v>44</v>
      </c>
      <c r="D58" s="6">
        <v>44667.0</v>
      </c>
      <c r="E58" s="7">
        <v>2.0</v>
      </c>
      <c r="F58" s="7">
        <v>0.0147983708604618</v>
      </c>
      <c r="G58" s="6">
        <v>45011.0</v>
      </c>
      <c r="H58" s="7">
        <v>0.655818170567598</v>
      </c>
      <c r="I58" s="8"/>
    </row>
    <row r="59" ht="15.75" customHeight="1">
      <c r="A59" s="9" t="s">
        <v>100</v>
      </c>
      <c r="B59" s="4" t="s">
        <v>71</v>
      </c>
      <c r="C59" s="5" t="s">
        <v>50</v>
      </c>
      <c r="D59" s="6">
        <v>44420.0</v>
      </c>
      <c r="E59" s="7">
        <v>4.0</v>
      </c>
      <c r="F59" s="7">
        <v>0.719296978151084</v>
      </c>
      <c r="G59" s="6">
        <v>45029.0</v>
      </c>
      <c r="H59" s="7">
        <v>0.0540914668722125</v>
      </c>
      <c r="I59" s="8"/>
    </row>
    <row r="60" ht="15.75" customHeight="1">
      <c r="A60" s="9" t="s">
        <v>101</v>
      </c>
      <c r="B60" s="4" t="s">
        <v>34</v>
      </c>
      <c r="C60" s="5" t="s">
        <v>35</v>
      </c>
      <c r="D60" s="6">
        <v>44922.0</v>
      </c>
      <c r="E60" s="7">
        <v>6.0</v>
      </c>
      <c r="F60" s="7">
        <v>0.458941075287884</v>
      </c>
      <c r="G60" s="6">
        <v>44952.0</v>
      </c>
      <c r="H60" s="7">
        <v>0.648799662854783</v>
      </c>
      <c r="I60" s="8"/>
    </row>
    <row r="61" ht="15.75" customHeight="1">
      <c r="A61" s="9" t="s">
        <v>102</v>
      </c>
      <c r="B61" s="10" t="s">
        <v>103</v>
      </c>
      <c r="C61" s="5" t="s">
        <v>104</v>
      </c>
      <c r="D61" s="6">
        <v>44356.0</v>
      </c>
      <c r="E61" s="7">
        <v>6.0</v>
      </c>
      <c r="F61" s="7">
        <v>0.753692845632938</v>
      </c>
      <c r="G61" s="6">
        <v>45000.0</v>
      </c>
      <c r="H61" s="7">
        <v>0.953103501210231</v>
      </c>
      <c r="I61" s="8"/>
    </row>
    <row r="62" ht="15.75" customHeight="1">
      <c r="A62" s="9" t="s">
        <v>105</v>
      </c>
      <c r="B62" s="4" t="s">
        <v>39</v>
      </c>
      <c r="C62" s="5" t="s">
        <v>40</v>
      </c>
      <c r="D62" s="6">
        <v>44315.0</v>
      </c>
      <c r="E62" s="7">
        <v>7.0</v>
      </c>
      <c r="F62" s="7">
        <v>0.73835370024838</v>
      </c>
      <c r="G62" s="6">
        <v>45020.0</v>
      </c>
      <c r="H62" s="7">
        <v>0.10264222958663</v>
      </c>
      <c r="I62" s="8"/>
    </row>
    <row r="63" ht="15.75" customHeight="1">
      <c r="A63" s="9" t="s">
        <v>106</v>
      </c>
      <c r="B63" s="4" t="s">
        <v>12</v>
      </c>
      <c r="C63" s="5" t="s">
        <v>13</v>
      </c>
      <c r="D63" s="6">
        <v>44860.0</v>
      </c>
      <c r="E63" s="7">
        <v>8.0</v>
      </c>
      <c r="F63" s="7">
        <v>0.585256316656942</v>
      </c>
      <c r="G63" s="6">
        <v>45041.0</v>
      </c>
      <c r="H63" s="7">
        <v>0.635343559640063</v>
      </c>
      <c r="I63" s="8"/>
    </row>
    <row r="64" ht="15.75" customHeight="1">
      <c r="A64" s="9" t="s">
        <v>107</v>
      </c>
      <c r="B64" s="4" t="s">
        <v>58</v>
      </c>
      <c r="C64" s="5" t="s">
        <v>59</v>
      </c>
      <c r="D64" s="6">
        <v>44340.0</v>
      </c>
      <c r="E64" s="7">
        <v>9.0</v>
      </c>
      <c r="F64" s="7">
        <v>0.876467198336821</v>
      </c>
      <c r="G64" s="6">
        <v>44957.0</v>
      </c>
      <c r="H64" s="7">
        <v>0.329327528839123</v>
      </c>
      <c r="I64" s="8"/>
    </row>
    <row r="65" ht="15.75" customHeight="1">
      <c r="A65" s="9" t="s">
        <v>108</v>
      </c>
      <c r="B65" s="4" t="s">
        <v>34</v>
      </c>
      <c r="C65" s="5" t="s">
        <v>35</v>
      </c>
      <c r="D65" s="6">
        <v>44773.0</v>
      </c>
      <c r="E65" s="7">
        <v>5.0</v>
      </c>
      <c r="F65" s="7">
        <v>0.687201576975237</v>
      </c>
      <c r="G65" s="6">
        <v>45054.0</v>
      </c>
      <c r="H65" s="7">
        <v>0.799909732158185</v>
      </c>
      <c r="I65" s="8"/>
    </row>
    <row r="66" ht="15.75" customHeight="1">
      <c r="A66" s="9" t="s">
        <v>109</v>
      </c>
      <c r="B66" s="4" t="s">
        <v>27</v>
      </c>
      <c r="C66" s="5" t="s">
        <v>28</v>
      </c>
      <c r="D66" s="6">
        <v>44347.0</v>
      </c>
      <c r="E66" s="7">
        <v>1.0</v>
      </c>
      <c r="F66" s="7">
        <v>0.485887036082261</v>
      </c>
      <c r="G66" s="6">
        <v>45035.0</v>
      </c>
      <c r="H66" s="7">
        <v>0.455189182145229</v>
      </c>
      <c r="I66" s="8"/>
    </row>
    <row r="67" ht="15.75" customHeight="1">
      <c r="A67" s="9" t="s">
        <v>110</v>
      </c>
      <c r="B67" s="4" t="s">
        <v>71</v>
      </c>
      <c r="C67" s="5" t="s">
        <v>50</v>
      </c>
      <c r="D67" s="6">
        <v>44659.0</v>
      </c>
      <c r="E67" s="7">
        <v>2.0</v>
      </c>
      <c r="F67" s="7">
        <v>0.685551936406765</v>
      </c>
      <c r="G67" s="6">
        <v>45014.0</v>
      </c>
      <c r="H67" s="7">
        <v>0.400359127720235</v>
      </c>
      <c r="I67" s="8"/>
    </row>
    <row r="68" ht="15.75" customHeight="1">
      <c r="A68" s="9" t="s">
        <v>111</v>
      </c>
      <c r="B68" s="4" t="s">
        <v>58</v>
      </c>
      <c r="C68" s="5" t="s">
        <v>59</v>
      </c>
      <c r="D68" s="6">
        <v>44679.0</v>
      </c>
      <c r="E68" s="7">
        <v>1.0</v>
      </c>
      <c r="F68" s="7">
        <v>0.574831092396204</v>
      </c>
      <c r="G68" s="6">
        <v>44936.0</v>
      </c>
      <c r="H68" s="7">
        <v>0.14703843884491</v>
      </c>
      <c r="I68" s="8"/>
    </row>
    <row r="69" ht="15.75" customHeight="1">
      <c r="A69" s="9" t="s">
        <v>112</v>
      </c>
      <c r="B69" s="4" t="s">
        <v>81</v>
      </c>
      <c r="C69" s="5" t="s">
        <v>62</v>
      </c>
      <c r="D69" s="6">
        <v>44800.0</v>
      </c>
      <c r="E69" s="7">
        <v>4.0</v>
      </c>
      <c r="F69" s="7">
        <v>0.890570604646642</v>
      </c>
      <c r="G69" s="6">
        <v>45004.0</v>
      </c>
      <c r="H69" s="7">
        <v>0.247669788940185</v>
      </c>
      <c r="I69" s="8"/>
    </row>
    <row r="70" ht="15.75" customHeight="1">
      <c r="A70" s="9" t="s">
        <v>113</v>
      </c>
      <c r="B70" s="4" t="s">
        <v>9</v>
      </c>
      <c r="C70" s="5" t="s">
        <v>10</v>
      </c>
      <c r="D70" s="6">
        <v>44889.0</v>
      </c>
      <c r="E70" s="7">
        <v>4.0</v>
      </c>
      <c r="F70" s="7">
        <v>0.646065336404277</v>
      </c>
      <c r="G70" s="6">
        <v>44977.0</v>
      </c>
      <c r="H70" s="7">
        <v>0.755027679091496</v>
      </c>
      <c r="I70" s="8"/>
    </row>
    <row r="71" ht="15.75" customHeight="1">
      <c r="A71" s="9" t="s">
        <v>114</v>
      </c>
      <c r="B71" s="10" t="s">
        <v>103</v>
      </c>
      <c r="C71" s="5" t="s">
        <v>104</v>
      </c>
      <c r="D71" s="6">
        <v>44574.0</v>
      </c>
      <c r="E71" s="7">
        <v>5.0</v>
      </c>
      <c r="F71" s="7">
        <v>0.0244080432457974</v>
      </c>
      <c r="G71" s="6">
        <v>45041.0</v>
      </c>
      <c r="H71" s="7">
        <v>0.118420081037578</v>
      </c>
      <c r="I71" s="8"/>
    </row>
    <row r="72" ht="15.75" customHeight="1">
      <c r="A72" s="9" t="s">
        <v>115</v>
      </c>
      <c r="B72" s="4" t="s">
        <v>61</v>
      </c>
      <c r="C72" s="5" t="s">
        <v>62</v>
      </c>
      <c r="D72" s="6">
        <v>44752.0</v>
      </c>
      <c r="E72" s="7">
        <v>1.0</v>
      </c>
      <c r="F72" s="7">
        <v>0.144587962809021</v>
      </c>
      <c r="G72" s="6">
        <v>44974.0</v>
      </c>
      <c r="H72" s="7">
        <v>0.223373063762634</v>
      </c>
      <c r="I72" s="8"/>
    </row>
    <row r="73" ht="15.75" customHeight="1">
      <c r="A73" s="9" t="s">
        <v>116</v>
      </c>
      <c r="B73" s="4" t="s">
        <v>46</v>
      </c>
      <c r="C73" s="5" t="s">
        <v>47</v>
      </c>
      <c r="D73" s="6">
        <v>44786.0</v>
      </c>
      <c r="E73" s="7">
        <v>7.0</v>
      </c>
      <c r="F73" s="7">
        <v>0.0131744392227479</v>
      </c>
      <c r="G73" s="6">
        <v>45030.0</v>
      </c>
      <c r="H73" s="7">
        <v>0.971856828410045</v>
      </c>
      <c r="I73" s="8"/>
    </row>
    <row r="74" ht="15.75" customHeight="1">
      <c r="A74" s="9" t="s">
        <v>117</v>
      </c>
      <c r="B74" s="4" t="s">
        <v>21</v>
      </c>
      <c r="C74" s="5" t="s">
        <v>22</v>
      </c>
      <c r="D74" s="6">
        <v>44644.0</v>
      </c>
      <c r="E74" s="7">
        <v>4.0</v>
      </c>
      <c r="F74" s="7">
        <v>0.815308579069758</v>
      </c>
      <c r="G74" s="6">
        <v>44954.0</v>
      </c>
      <c r="H74" s="7">
        <v>0.482609873160732</v>
      </c>
      <c r="I74" s="8"/>
    </row>
    <row r="75" ht="15.75" customHeight="1">
      <c r="A75" s="9" t="s">
        <v>118</v>
      </c>
      <c r="B75" s="4" t="s">
        <v>17</v>
      </c>
      <c r="C75" s="5" t="s">
        <v>18</v>
      </c>
      <c r="D75" s="6">
        <v>44554.0</v>
      </c>
      <c r="E75" s="7">
        <v>6.0</v>
      </c>
      <c r="F75" s="7">
        <v>0.154910810456996</v>
      </c>
      <c r="G75" s="6">
        <v>45064.0</v>
      </c>
      <c r="H75" s="7">
        <v>0.768024534248946</v>
      </c>
      <c r="I75" s="8"/>
    </row>
    <row r="76" ht="15.75" customHeight="1">
      <c r="A76" s="9" t="s">
        <v>119</v>
      </c>
      <c r="B76" s="4" t="s">
        <v>58</v>
      </c>
      <c r="C76" s="5" t="s">
        <v>59</v>
      </c>
      <c r="D76" s="6">
        <v>44706.0</v>
      </c>
      <c r="E76" s="7">
        <v>1.0</v>
      </c>
      <c r="F76" s="7">
        <v>0.269555056043635</v>
      </c>
      <c r="G76" s="6">
        <v>45000.0</v>
      </c>
      <c r="H76" s="7">
        <v>0.122182361751799</v>
      </c>
      <c r="I76" s="8"/>
    </row>
    <row r="77" ht="15.75" customHeight="1">
      <c r="A77" s="9" t="s">
        <v>120</v>
      </c>
      <c r="B77" s="4" t="s">
        <v>15</v>
      </c>
      <c r="C77" s="5" t="s">
        <v>10</v>
      </c>
      <c r="D77" s="6">
        <v>44794.0</v>
      </c>
      <c r="E77" s="7">
        <v>3.0</v>
      </c>
      <c r="F77" s="7">
        <v>0.715126229819904</v>
      </c>
      <c r="G77" s="6">
        <v>45023.0</v>
      </c>
      <c r="H77" s="7">
        <v>0.00282332058926804</v>
      </c>
      <c r="I77" s="8"/>
    </row>
    <row r="78" ht="15.75" customHeight="1">
      <c r="A78" s="9" t="s">
        <v>121</v>
      </c>
      <c r="B78" s="4" t="s">
        <v>34</v>
      </c>
      <c r="C78" s="5" t="s">
        <v>35</v>
      </c>
      <c r="D78" s="6">
        <v>44423.0</v>
      </c>
      <c r="E78" s="7">
        <v>5.0</v>
      </c>
      <c r="F78" s="7">
        <v>0.517478802978105</v>
      </c>
      <c r="G78" s="6">
        <v>44991.0</v>
      </c>
      <c r="H78" s="7">
        <v>0.194941670945359</v>
      </c>
      <c r="I78" s="8"/>
    </row>
    <row r="79" ht="15.75" customHeight="1">
      <c r="A79" s="9" t="s">
        <v>122</v>
      </c>
      <c r="B79" s="4" t="s">
        <v>58</v>
      </c>
      <c r="C79" s="5" t="s">
        <v>59</v>
      </c>
      <c r="D79" s="6">
        <v>44270.0</v>
      </c>
      <c r="E79" s="7">
        <v>3.0</v>
      </c>
      <c r="F79" s="7">
        <v>0.989331928356507</v>
      </c>
      <c r="G79" s="6">
        <v>44952.0</v>
      </c>
      <c r="H79" s="7">
        <v>0.116747383128981</v>
      </c>
      <c r="I79" s="8"/>
    </row>
    <row r="80" ht="15.75" customHeight="1">
      <c r="A80" s="9" t="s">
        <v>123</v>
      </c>
      <c r="B80" s="4" t="s">
        <v>73</v>
      </c>
      <c r="C80" s="5" t="s">
        <v>74</v>
      </c>
      <c r="D80" s="6">
        <v>44852.0</v>
      </c>
      <c r="E80" s="7">
        <v>5.0</v>
      </c>
      <c r="F80" s="7">
        <v>0.324156847121729</v>
      </c>
      <c r="G80" s="6">
        <v>45051.0</v>
      </c>
      <c r="H80" s="7">
        <v>0.283985235417599</v>
      </c>
      <c r="I80" s="8"/>
    </row>
    <row r="81" ht="15.75" customHeight="1">
      <c r="A81" s="9" t="s">
        <v>124</v>
      </c>
      <c r="B81" s="4" t="s">
        <v>9</v>
      </c>
      <c r="C81" s="5" t="s">
        <v>10</v>
      </c>
      <c r="D81" s="6">
        <v>44343.0</v>
      </c>
      <c r="E81" s="7">
        <v>6.0</v>
      </c>
      <c r="F81" s="7">
        <v>0.645594259580748</v>
      </c>
      <c r="G81" s="6">
        <v>45057.0</v>
      </c>
      <c r="H81" s="7">
        <v>0.749763544813569</v>
      </c>
      <c r="I81" s="8"/>
    </row>
    <row r="82" ht="15.75" customHeight="1">
      <c r="A82" s="9" t="s">
        <v>125</v>
      </c>
      <c r="B82" s="10" t="s">
        <v>103</v>
      </c>
      <c r="C82" s="5" t="s">
        <v>104</v>
      </c>
      <c r="D82" s="6">
        <v>44643.0</v>
      </c>
      <c r="E82" s="7">
        <v>10.0</v>
      </c>
      <c r="F82" s="7">
        <v>0.135025774449008</v>
      </c>
      <c r="G82" s="6">
        <v>45050.0</v>
      </c>
      <c r="H82" s="7">
        <v>0.0972899282578751</v>
      </c>
      <c r="I82" s="8"/>
    </row>
    <row r="83" ht="15.75" customHeight="1">
      <c r="A83" s="9" t="s">
        <v>126</v>
      </c>
      <c r="B83" s="4" t="s">
        <v>43</v>
      </c>
      <c r="C83" s="5" t="s">
        <v>44</v>
      </c>
      <c r="D83" s="6">
        <v>44353.0</v>
      </c>
      <c r="E83" s="7">
        <v>8.0</v>
      </c>
      <c r="F83" s="7">
        <v>0.74864767306151</v>
      </c>
      <c r="G83" s="6">
        <v>45075.0</v>
      </c>
      <c r="H83" s="7">
        <v>0.91487830622237</v>
      </c>
      <c r="I83" s="8"/>
    </row>
    <row r="84" ht="15.75" customHeight="1">
      <c r="A84" s="9" t="s">
        <v>127</v>
      </c>
      <c r="B84" s="4" t="s">
        <v>49</v>
      </c>
      <c r="C84" s="5" t="s">
        <v>50</v>
      </c>
      <c r="D84" s="6">
        <v>44703.0</v>
      </c>
      <c r="E84" s="7">
        <v>1.0</v>
      </c>
      <c r="F84" s="7">
        <v>0.105161391848884</v>
      </c>
      <c r="G84" s="6">
        <v>45054.0</v>
      </c>
      <c r="H84" s="7">
        <v>0.226907294644044</v>
      </c>
      <c r="I84" s="8"/>
    </row>
    <row r="85" ht="15.75" customHeight="1">
      <c r="A85" s="9" t="s">
        <v>128</v>
      </c>
      <c r="B85" s="4" t="s">
        <v>129</v>
      </c>
      <c r="C85" s="5" t="s">
        <v>22</v>
      </c>
      <c r="D85" s="6">
        <v>44742.0</v>
      </c>
      <c r="E85" s="7">
        <v>6.0</v>
      </c>
      <c r="F85" s="7">
        <v>0.11408685507641</v>
      </c>
      <c r="G85" s="6">
        <v>44954.0</v>
      </c>
      <c r="H85" s="7">
        <v>0.335716769039153</v>
      </c>
      <c r="I85" s="8"/>
    </row>
    <row r="86" ht="15.75" customHeight="1">
      <c r="A86" s="9" t="s">
        <v>130</v>
      </c>
      <c r="B86" s="4" t="s">
        <v>61</v>
      </c>
      <c r="C86" s="5" t="s">
        <v>62</v>
      </c>
      <c r="D86" s="6">
        <v>44600.0</v>
      </c>
      <c r="E86" s="7">
        <v>1.0</v>
      </c>
      <c r="F86" s="7">
        <v>0.583728436819359</v>
      </c>
      <c r="G86" s="6">
        <v>44997.0</v>
      </c>
      <c r="H86" s="7">
        <v>0.381866457629823</v>
      </c>
      <c r="I86" s="8"/>
    </row>
    <row r="87" ht="15.75" customHeight="1">
      <c r="A87" s="9" t="s">
        <v>131</v>
      </c>
      <c r="B87" s="4" t="s">
        <v>129</v>
      </c>
      <c r="C87" s="5" t="s">
        <v>22</v>
      </c>
      <c r="D87" s="6">
        <v>44721.0</v>
      </c>
      <c r="E87" s="7">
        <v>6.0</v>
      </c>
      <c r="F87" s="7">
        <v>0.0160691813183151</v>
      </c>
      <c r="G87" s="6">
        <v>44928.0</v>
      </c>
      <c r="H87" s="7">
        <v>0.935510039906771</v>
      </c>
      <c r="I87" s="8"/>
    </row>
    <row r="88" ht="15.75" customHeight="1">
      <c r="A88" s="9" t="s">
        <v>132</v>
      </c>
      <c r="B88" s="10" t="s">
        <v>103</v>
      </c>
      <c r="C88" s="5" t="s">
        <v>104</v>
      </c>
      <c r="D88" s="6">
        <v>44544.0</v>
      </c>
      <c r="E88" s="7">
        <v>7.0</v>
      </c>
      <c r="F88" s="7">
        <v>0.774832861376454</v>
      </c>
      <c r="G88" s="6">
        <v>44977.0</v>
      </c>
      <c r="H88" s="7">
        <v>0.839729362041208</v>
      </c>
      <c r="I88" s="8"/>
    </row>
    <row r="89" ht="15.75" customHeight="1">
      <c r="A89" s="9" t="s">
        <v>133</v>
      </c>
      <c r="B89" s="4" t="s">
        <v>34</v>
      </c>
      <c r="C89" s="5" t="s">
        <v>35</v>
      </c>
      <c r="D89" s="6">
        <v>44304.0</v>
      </c>
      <c r="E89" s="7">
        <v>6.0</v>
      </c>
      <c r="F89" s="7">
        <v>0.834157114488271</v>
      </c>
      <c r="G89" s="6">
        <v>45032.0</v>
      </c>
      <c r="H89" s="7">
        <v>0.737549038649891</v>
      </c>
      <c r="I89" s="8"/>
    </row>
    <row r="90" ht="15.75" customHeight="1">
      <c r="A90" s="9" t="s">
        <v>134</v>
      </c>
      <c r="B90" s="4" t="s">
        <v>15</v>
      </c>
      <c r="C90" s="5" t="s">
        <v>10</v>
      </c>
      <c r="D90" s="6">
        <v>44285.0</v>
      </c>
      <c r="E90" s="7">
        <v>7.0</v>
      </c>
      <c r="F90" s="7">
        <v>0.273499980257716</v>
      </c>
      <c r="G90" s="6">
        <v>45056.0</v>
      </c>
      <c r="H90" s="7">
        <v>0.398707058551939</v>
      </c>
      <c r="I90" s="8"/>
    </row>
    <row r="91" ht="15.75" customHeight="1">
      <c r="A91" s="9" t="s">
        <v>135</v>
      </c>
      <c r="B91" s="4" t="s">
        <v>21</v>
      </c>
      <c r="C91" s="5" t="s">
        <v>22</v>
      </c>
      <c r="D91" s="6">
        <v>44279.0</v>
      </c>
      <c r="E91" s="7">
        <v>10.0</v>
      </c>
      <c r="F91" s="7">
        <v>0.178943623188547</v>
      </c>
      <c r="G91" s="6">
        <v>45026.0</v>
      </c>
      <c r="H91" s="7">
        <v>0.279835356596887</v>
      </c>
      <c r="I91" s="8"/>
    </row>
    <row r="92" ht="15.75" customHeight="1">
      <c r="A92" s="9" t="s">
        <v>136</v>
      </c>
      <c r="B92" s="4" t="s">
        <v>9</v>
      </c>
      <c r="C92" s="5" t="s">
        <v>10</v>
      </c>
      <c r="D92" s="6">
        <v>44206.0</v>
      </c>
      <c r="E92" s="7">
        <v>2.0</v>
      </c>
      <c r="F92" s="7">
        <v>0.905042271114582</v>
      </c>
      <c r="G92" s="6">
        <v>44957.0</v>
      </c>
      <c r="H92" s="7">
        <v>0.458830847192579</v>
      </c>
      <c r="I92" s="8"/>
    </row>
    <row r="93" ht="15.75" customHeight="1">
      <c r="A93" s="9" t="s">
        <v>137</v>
      </c>
      <c r="B93" s="4" t="s">
        <v>58</v>
      </c>
      <c r="C93" s="5" t="s">
        <v>59</v>
      </c>
      <c r="D93" s="6">
        <v>44557.0</v>
      </c>
      <c r="E93" s="7">
        <v>4.0</v>
      </c>
      <c r="F93" s="7">
        <v>0.00361053772367603</v>
      </c>
      <c r="G93" s="6">
        <v>44993.0</v>
      </c>
      <c r="H93" s="7">
        <v>0.430410454177235</v>
      </c>
      <c r="I93" s="8"/>
    </row>
    <row r="94" ht="15.75" customHeight="1">
      <c r="A94" s="9" t="s">
        <v>138</v>
      </c>
      <c r="B94" s="4" t="s">
        <v>81</v>
      </c>
      <c r="C94" s="5" t="s">
        <v>62</v>
      </c>
      <c r="D94" s="6">
        <v>44366.0</v>
      </c>
      <c r="E94" s="7">
        <v>2.0</v>
      </c>
      <c r="F94" s="7">
        <v>0.256532208615462</v>
      </c>
      <c r="G94" s="6">
        <v>44975.0</v>
      </c>
      <c r="H94" s="7">
        <v>0.256830904544341</v>
      </c>
      <c r="I94" s="8"/>
    </row>
    <row r="95" ht="15.75" customHeight="1">
      <c r="A95" s="9" t="s">
        <v>139</v>
      </c>
      <c r="B95" s="10" t="s">
        <v>103</v>
      </c>
      <c r="C95" s="5" t="s">
        <v>104</v>
      </c>
      <c r="D95" s="6">
        <v>44250.0</v>
      </c>
      <c r="E95" s="7">
        <v>5.0</v>
      </c>
      <c r="F95" s="7">
        <v>0.700218449306536</v>
      </c>
      <c r="G95" s="6">
        <v>45008.0</v>
      </c>
      <c r="H95" s="7">
        <v>0.611876652795776</v>
      </c>
      <c r="I95" s="8"/>
    </row>
    <row r="96" ht="15.75" customHeight="1">
      <c r="A96" s="9" t="s">
        <v>140</v>
      </c>
      <c r="B96" s="4" t="s">
        <v>21</v>
      </c>
      <c r="C96" s="5" t="s">
        <v>22</v>
      </c>
      <c r="D96" s="6">
        <v>44235.0</v>
      </c>
      <c r="E96" s="7">
        <v>2.0</v>
      </c>
      <c r="F96" s="7">
        <v>0.862366236672537</v>
      </c>
      <c r="G96" s="6">
        <v>45015.0</v>
      </c>
      <c r="H96" s="7">
        <v>0.564130548765884</v>
      </c>
      <c r="I96" s="8"/>
    </row>
    <row r="97" ht="15.75" customHeight="1">
      <c r="A97" s="9" t="s">
        <v>141</v>
      </c>
      <c r="B97" s="4" t="s">
        <v>129</v>
      </c>
      <c r="C97" s="5" t="s">
        <v>22</v>
      </c>
      <c r="D97" s="6">
        <v>44774.0</v>
      </c>
      <c r="E97" s="7">
        <v>5.0</v>
      </c>
      <c r="F97" s="7">
        <v>0.309379274915278</v>
      </c>
      <c r="G97" s="6">
        <v>45015.0</v>
      </c>
      <c r="H97" s="7">
        <v>0.00645126532401851</v>
      </c>
      <c r="I97" s="8"/>
    </row>
    <row r="98" ht="15.75" customHeight="1">
      <c r="A98" s="9" t="s">
        <v>142</v>
      </c>
      <c r="B98" s="10" t="s">
        <v>103</v>
      </c>
      <c r="C98" s="5" t="s">
        <v>104</v>
      </c>
      <c r="D98" s="6">
        <v>44396.0</v>
      </c>
      <c r="E98" s="7">
        <v>7.0</v>
      </c>
      <c r="F98" s="7">
        <v>0.55211790295911</v>
      </c>
      <c r="G98" s="6">
        <v>45011.0</v>
      </c>
      <c r="H98" s="7">
        <v>0.338710552168543</v>
      </c>
      <c r="I98" s="8"/>
    </row>
    <row r="99" ht="15.75" customHeight="1">
      <c r="A99" s="9" t="s">
        <v>143</v>
      </c>
      <c r="B99" s="4" t="s">
        <v>129</v>
      </c>
      <c r="C99" s="5" t="s">
        <v>22</v>
      </c>
      <c r="D99" s="6">
        <v>44491.0</v>
      </c>
      <c r="E99" s="7">
        <v>4.0</v>
      </c>
      <c r="F99" s="7">
        <v>0.201509892960111</v>
      </c>
      <c r="G99" s="6">
        <v>45067.0</v>
      </c>
      <c r="H99" s="7">
        <v>0.23936851527946</v>
      </c>
      <c r="I99" s="8"/>
    </row>
    <row r="100" ht="15.75" customHeight="1">
      <c r="A100" s="9" t="s">
        <v>144</v>
      </c>
      <c r="B100" s="4" t="s">
        <v>15</v>
      </c>
      <c r="C100" s="5" t="s">
        <v>10</v>
      </c>
      <c r="D100" s="6">
        <v>44534.0</v>
      </c>
      <c r="E100" s="7">
        <v>5.0</v>
      </c>
      <c r="F100" s="7">
        <v>0.184840099329342</v>
      </c>
      <c r="G100" s="6">
        <v>44952.0</v>
      </c>
      <c r="H100" s="7">
        <v>0.17511595791936</v>
      </c>
      <c r="I100" s="8"/>
    </row>
    <row r="101" ht="15.75" customHeight="1">
      <c r="A101" s="9" t="s">
        <v>145</v>
      </c>
      <c r="B101" s="4" t="s">
        <v>30</v>
      </c>
      <c r="C101" s="5" t="s">
        <v>31</v>
      </c>
      <c r="D101" s="6">
        <v>44872.0</v>
      </c>
      <c r="E101" s="7">
        <v>6.0</v>
      </c>
      <c r="F101" s="7">
        <v>0.349559300871193</v>
      </c>
      <c r="G101" s="6">
        <v>44929.0</v>
      </c>
      <c r="H101" s="7">
        <v>0.533275271168738</v>
      </c>
      <c r="I101" s="8"/>
    </row>
    <row r="102" ht="15.75" customHeight="1">
      <c r="A102" s="9" t="s">
        <v>146</v>
      </c>
      <c r="B102" s="10" t="s">
        <v>103</v>
      </c>
      <c r="C102" s="5" t="s">
        <v>104</v>
      </c>
      <c r="D102" s="6">
        <v>44468.0</v>
      </c>
      <c r="E102" s="7">
        <v>3.0</v>
      </c>
      <c r="F102" s="7">
        <v>0.931891652776834</v>
      </c>
      <c r="G102" s="6">
        <v>44962.0</v>
      </c>
      <c r="H102" s="7">
        <v>0.0243785689040747</v>
      </c>
      <c r="I102" s="8"/>
    </row>
    <row r="103" ht="15.75" customHeight="1">
      <c r="A103" s="9" t="s">
        <v>147</v>
      </c>
      <c r="B103" s="4" t="s">
        <v>73</v>
      </c>
      <c r="C103" s="5" t="s">
        <v>74</v>
      </c>
      <c r="D103" s="6">
        <v>44921.0</v>
      </c>
      <c r="E103" s="7">
        <v>10.0</v>
      </c>
      <c r="F103" s="7">
        <v>0.68735083469695</v>
      </c>
      <c r="G103" s="6">
        <v>44990.0</v>
      </c>
      <c r="H103" s="7">
        <v>0.417878412014323</v>
      </c>
      <c r="I103" s="8"/>
    </row>
    <row r="104" ht="15.75" customHeight="1">
      <c r="A104" s="9" t="s">
        <v>148</v>
      </c>
      <c r="B104" s="4" t="s">
        <v>39</v>
      </c>
      <c r="C104" s="5" t="s">
        <v>40</v>
      </c>
      <c r="D104" s="6">
        <v>44605.0</v>
      </c>
      <c r="E104" s="7">
        <v>5.0</v>
      </c>
      <c r="F104" s="7">
        <v>0.174935463486436</v>
      </c>
      <c r="G104" s="6">
        <v>45001.0</v>
      </c>
      <c r="H104" s="7">
        <v>0.836668550903339</v>
      </c>
      <c r="I104" s="8"/>
    </row>
    <row r="105" ht="15.75" customHeight="1">
      <c r="A105" s="9" t="s">
        <v>149</v>
      </c>
      <c r="B105" s="10" t="s">
        <v>103</v>
      </c>
      <c r="C105" s="5" t="s">
        <v>104</v>
      </c>
      <c r="D105" s="6">
        <v>44659.0</v>
      </c>
      <c r="E105" s="7">
        <v>7.0</v>
      </c>
      <c r="F105" s="7">
        <v>0.752151328343646</v>
      </c>
      <c r="G105" s="6">
        <v>45051.0</v>
      </c>
      <c r="H105" s="7">
        <v>0.0261683637953518</v>
      </c>
      <c r="I105" s="8"/>
    </row>
    <row r="106" ht="15.75" customHeight="1">
      <c r="A106" s="9" t="s">
        <v>150</v>
      </c>
      <c r="B106" s="4" t="s">
        <v>39</v>
      </c>
      <c r="C106" s="5" t="s">
        <v>40</v>
      </c>
      <c r="D106" s="6">
        <v>44263.0</v>
      </c>
      <c r="E106" s="7">
        <v>1.0</v>
      </c>
      <c r="F106" s="7">
        <v>0.309539170561702</v>
      </c>
      <c r="G106" s="6">
        <v>45058.0</v>
      </c>
      <c r="H106" s="7">
        <v>0.660439489953403</v>
      </c>
      <c r="I106" s="8"/>
    </row>
    <row r="107" ht="15.75" customHeight="1">
      <c r="A107" s="9" t="s">
        <v>151</v>
      </c>
      <c r="B107" s="4" t="s">
        <v>61</v>
      </c>
      <c r="C107" s="5" t="s">
        <v>62</v>
      </c>
      <c r="D107" s="6">
        <v>44422.0</v>
      </c>
      <c r="E107" s="7">
        <v>10.0</v>
      </c>
      <c r="F107" s="7">
        <v>0.621478297655653</v>
      </c>
      <c r="G107" s="6">
        <v>45045.0</v>
      </c>
      <c r="H107" s="7">
        <v>0.444662760956168</v>
      </c>
      <c r="I107" s="8"/>
    </row>
    <row r="108" ht="15.75" customHeight="1">
      <c r="A108" s="9" t="s">
        <v>152</v>
      </c>
      <c r="B108" s="4" t="s">
        <v>58</v>
      </c>
      <c r="C108" s="5" t="s">
        <v>59</v>
      </c>
      <c r="D108" s="6">
        <v>44903.0</v>
      </c>
      <c r="E108" s="7">
        <v>7.0</v>
      </c>
      <c r="F108" s="7">
        <v>0.607527165006449</v>
      </c>
      <c r="G108" s="6">
        <v>45029.0</v>
      </c>
      <c r="H108" s="7">
        <v>0.90286839870973</v>
      </c>
      <c r="I108" s="8"/>
    </row>
    <row r="109" ht="15.75" customHeight="1">
      <c r="A109" s="9" t="s">
        <v>153</v>
      </c>
      <c r="B109" s="4" t="s">
        <v>46</v>
      </c>
      <c r="C109" s="5" t="s">
        <v>47</v>
      </c>
      <c r="D109" s="6">
        <v>44810.0</v>
      </c>
      <c r="E109" s="7">
        <v>10.0</v>
      </c>
      <c r="F109" s="7">
        <v>0.0801267234153991</v>
      </c>
      <c r="G109" s="6">
        <v>44973.0</v>
      </c>
      <c r="H109" s="7">
        <v>0.516359990681682</v>
      </c>
      <c r="I109" s="8"/>
    </row>
    <row r="110" ht="15.75" customHeight="1">
      <c r="A110" s="9" t="s">
        <v>154</v>
      </c>
      <c r="B110" s="4" t="s">
        <v>21</v>
      </c>
      <c r="C110" s="5" t="s">
        <v>22</v>
      </c>
      <c r="D110" s="6">
        <v>44716.0</v>
      </c>
      <c r="E110" s="7">
        <v>1.0</v>
      </c>
      <c r="F110" s="7">
        <v>0.165768699711766</v>
      </c>
      <c r="G110" s="6">
        <v>44958.0</v>
      </c>
      <c r="H110" s="7">
        <v>0.352199201220819</v>
      </c>
      <c r="I110" s="8"/>
    </row>
    <row r="111" ht="15.75" customHeight="1">
      <c r="A111" s="9" t="s">
        <v>155</v>
      </c>
      <c r="B111" s="4" t="s">
        <v>58</v>
      </c>
      <c r="C111" s="5" t="s">
        <v>59</v>
      </c>
      <c r="D111" s="6">
        <v>44276.0</v>
      </c>
      <c r="E111" s="7">
        <v>7.0</v>
      </c>
      <c r="F111" s="7">
        <v>0.950382859108894</v>
      </c>
      <c r="G111" s="6">
        <v>45067.0</v>
      </c>
      <c r="H111" s="7">
        <v>0.493774747227402</v>
      </c>
      <c r="I111" s="8"/>
    </row>
    <row r="112" ht="15.75" customHeight="1">
      <c r="A112" s="9" t="s">
        <v>156</v>
      </c>
      <c r="B112" s="4" t="s">
        <v>17</v>
      </c>
      <c r="C112" s="5" t="s">
        <v>18</v>
      </c>
      <c r="D112" s="6">
        <v>44709.0</v>
      </c>
      <c r="E112" s="7">
        <v>8.0</v>
      </c>
      <c r="F112" s="7">
        <v>0.343246245514722</v>
      </c>
      <c r="G112" s="6">
        <v>44980.0</v>
      </c>
      <c r="H112" s="7">
        <v>0.0559412178614648</v>
      </c>
      <c r="I112" s="8"/>
    </row>
    <row r="113" ht="15.75" customHeight="1">
      <c r="A113" s="9" t="s">
        <v>157</v>
      </c>
      <c r="B113" s="4" t="s">
        <v>58</v>
      </c>
      <c r="C113" s="5" t="s">
        <v>59</v>
      </c>
      <c r="D113" s="6">
        <v>44907.0</v>
      </c>
      <c r="E113" s="7">
        <v>9.0</v>
      </c>
      <c r="F113" s="7">
        <v>0.883941125493408</v>
      </c>
      <c r="G113" s="6">
        <v>44949.0</v>
      </c>
      <c r="H113" s="7">
        <v>0.170650898099275</v>
      </c>
      <c r="I113" s="8"/>
    </row>
    <row r="114" ht="15.75" customHeight="1">
      <c r="A114" s="9" t="s">
        <v>158</v>
      </c>
      <c r="B114" s="4" t="s">
        <v>12</v>
      </c>
      <c r="C114" s="5" t="s">
        <v>13</v>
      </c>
      <c r="D114" s="6">
        <v>44578.0</v>
      </c>
      <c r="E114" s="7">
        <v>2.0</v>
      </c>
      <c r="F114" s="7">
        <v>0.191242669323462</v>
      </c>
      <c r="G114" s="6">
        <v>44953.0</v>
      </c>
      <c r="H114" s="7">
        <v>0.449888383729285</v>
      </c>
      <c r="I114" s="8"/>
    </row>
    <row r="115" ht="15.75" customHeight="1">
      <c r="A115" s="9" t="s">
        <v>159</v>
      </c>
      <c r="B115" s="4" t="s">
        <v>43</v>
      </c>
      <c r="C115" s="5" t="s">
        <v>44</v>
      </c>
      <c r="D115" s="6">
        <v>44324.0</v>
      </c>
      <c r="E115" s="7">
        <v>9.0</v>
      </c>
      <c r="F115" s="7">
        <v>0.702370249551387</v>
      </c>
      <c r="G115" s="6">
        <v>45039.0</v>
      </c>
      <c r="H115" s="7">
        <v>0.234745268699761</v>
      </c>
      <c r="I115" s="8"/>
    </row>
    <row r="116" ht="15.75" customHeight="1">
      <c r="A116" s="9" t="s">
        <v>160</v>
      </c>
      <c r="B116" s="4" t="s">
        <v>24</v>
      </c>
      <c r="C116" s="5" t="s">
        <v>25</v>
      </c>
      <c r="D116" s="6">
        <v>44464.0</v>
      </c>
      <c r="E116" s="7">
        <v>1.0</v>
      </c>
      <c r="F116" s="7">
        <v>0.476642930833065</v>
      </c>
      <c r="G116" s="6">
        <v>44998.0</v>
      </c>
      <c r="H116" s="7">
        <v>0.230320875345751</v>
      </c>
      <c r="I116" s="8"/>
    </row>
    <row r="117" ht="15.75" customHeight="1">
      <c r="A117" s="9" t="s">
        <v>161</v>
      </c>
      <c r="B117" s="4" t="s">
        <v>61</v>
      </c>
      <c r="C117" s="5" t="s">
        <v>62</v>
      </c>
      <c r="D117" s="6">
        <v>44581.0</v>
      </c>
      <c r="E117" s="7">
        <v>8.0</v>
      </c>
      <c r="F117" s="7">
        <v>0.528946188126075</v>
      </c>
      <c r="G117" s="6">
        <v>44998.0</v>
      </c>
      <c r="H117" s="7">
        <v>0.14894391596641</v>
      </c>
      <c r="I117" s="8"/>
    </row>
    <row r="118" ht="15.75" customHeight="1">
      <c r="A118" s="9" t="s">
        <v>162</v>
      </c>
      <c r="B118" s="10" t="s">
        <v>103</v>
      </c>
      <c r="C118" s="5" t="s">
        <v>104</v>
      </c>
      <c r="D118" s="6">
        <v>44595.0</v>
      </c>
      <c r="E118" s="7">
        <v>1.0</v>
      </c>
      <c r="F118" s="7">
        <v>0.907716229254442</v>
      </c>
      <c r="G118" s="6">
        <v>44956.0</v>
      </c>
      <c r="H118" s="7">
        <v>0.764390068487562</v>
      </c>
      <c r="I118" s="8"/>
    </row>
    <row r="119" ht="15.75" customHeight="1">
      <c r="A119" s="9" t="s">
        <v>163</v>
      </c>
      <c r="B119" s="4" t="s">
        <v>54</v>
      </c>
      <c r="C119" s="5" t="s">
        <v>55</v>
      </c>
      <c r="D119" s="6">
        <v>44625.0</v>
      </c>
      <c r="E119" s="7">
        <v>4.0</v>
      </c>
      <c r="F119" s="7">
        <v>0.93532778717298</v>
      </c>
      <c r="G119" s="6">
        <v>44933.0</v>
      </c>
      <c r="H119" s="7">
        <v>0.0293783280121878</v>
      </c>
      <c r="I119" s="8"/>
    </row>
    <row r="120" ht="15.75" customHeight="1">
      <c r="A120" s="9" t="s">
        <v>164</v>
      </c>
      <c r="B120" s="4" t="s">
        <v>9</v>
      </c>
      <c r="C120" s="5" t="s">
        <v>10</v>
      </c>
      <c r="D120" s="6">
        <v>44801.0</v>
      </c>
      <c r="E120" s="7">
        <v>6.0</v>
      </c>
      <c r="F120" s="7">
        <v>0.103932010083317</v>
      </c>
      <c r="G120" s="6">
        <v>44985.0</v>
      </c>
      <c r="H120" s="11">
        <v>6.07618044681235E-5</v>
      </c>
      <c r="I120" s="8"/>
    </row>
    <row r="121" ht="15.75" customHeight="1">
      <c r="A121" s="9" t="s">
        <v>165</v>
      </c>
      <c r="B121" s="4" t="s">
        <v>15</v>
      </c>
      <c r="C121" s="5" t="s">
        <v>10</v>
      </c>
      <c r="D121" s="6">
        <v>44589.0</v>
      </c>
      <c r="E121" s="7">
        <v>3.0</v>
      </c>
      <c r="F121" s="7">
        <v>0.336960988651783</v>
      </c>
      <c r="G121" s="6">
        <v>45034.0</v>
      </c>
      <c r="H121" s="7">
        <v>0.685876116615491</v>
      </c>
      <c r="I121" s="8"/>
    </row>
    <row r="122" ht="15.75" customHeight="1">
      <c r="A122" s="9" t="s">
        <v>166</v>
      </c>
      <c r="B122" s="4" t="s">
        <v>46</v>
      </c>
      <c r="C122" s="5" t="s">
        <v>47</v>
      </c>
      <c r="D122" s="6">
        <v>44733.0</v>
      </c>
      <c r="E122" s="7">
        <v>9.0</v>
      </c>
      <c r="F122" s="7">
        <v>0.328256741545483</v>
      </c>
      <c r="G122" s="6">
        <v>44981.0</v>
      </c>
      <c r="H122" s="7">
        <v>0.480455196778371</v>
      </c>
      <c r="I122" s="8"/>
    </row>
    <row r="123" ht="15.75" customHeight="1">
      <c r="A123" s="9" t="s">
        <v>167</v>
      </c>
      <c r="B123" s="4" t="s">
        <v>17</v>
      </c>
      <c r="C123" s="5" t="s">
        <v>18</v>
      </c>
      <c r="D123" s="6">
        <v>44879.0</v>
      </c>
      <c r="E123" s="7">
        <v>10.0</v>
      </c>
      <c r="F123" s="7">
        <v>0.47307005712238</v>
      </c>
      <c r="G123" s="6">
        <v>44937.0</v>
      </c>
      <c r="H123" s="7">
        <v>0.101691879406908</v>
      </c>
      <c r="I123" s="8"/>
    </row>
    <row r="124" ht="15.75" customHeight="1">
      <c r="A124" s="9" t="s">
        <v>168</v>
      </c>
      <c r="B124" s="4" t="s">
        <v>34</v>
      </c>
      <c r="C124" s="5" t="s">
        <v>35</v>
      </c>
      <c r="D124" s="6">
        <v>44371.0</v>
      </c>
      <c r="E124" s="7">
        <v>9.0</v>
      </c>
      <c r="F124" s="7">
        <v>0.712488351783868</v>
      </c>
      <c r="G124" s="6">
        <v>44975.0</v>
      </c>
      <c r="H124" s="7">
        <v>0.429141069321601</v>
      </c>
      <c r="I124" s="8"/>
    </row>
    <row r="125" ht="15.75" customHeight="1">
      <c r="A125" s="9" t="s">
        <v>169</v>
      </c>
      <c r="B125" s="4" t="s">
        <v>27</v>
      </c>
      <c r="C125" s="5" t="s">
        <v>28</v>
      </c>
      <c r="D125" s="6">
        <v>44792.0</v>
      </c>
      <c r="E125" s="7">
        <v>1.0</v>
      </c>
      <c r="F125" s="7">
        <v>0.87147093954099</v>
      </c>
      <c r="G125" s="6">
        <v>44967.0</v>
      </c>
      <c r="H125" s="7">
        <v>0.354436223592957</v>
      </c>
      <c r="I125" s="8"/>
    </row>
    <row r="126" ht="15.75" customHeight="1">
      <c r="A126" s="9" t="s">
        <v>170</v>
      </c>
      <c r="B126" s="4" t="s">
        <v>12</v>
      </c>
      <c r="C126" s="5" t="s">
        <v>13</v>
      </c>
      <c r="D126" s="6">
        <v>44272.0</v>
      </c>
      <c r="E126" s="7">
        <v>6.0</v>
      </c>
      <c r="F126" s="7">
        <v>0.0544647545816702</v>
      </c>
      <c r="G126" s="6">
        <v>45013.0</v>
      </c>
      <c r="H126" s="7">
        <v>0.49434155447053</v>
      </c>
      <c r="I126" s="8"/>
    </row>
    <row r="127" ht="15.75" customHeight="1">
      <c r="A127" s="9" t="s">
        <v>171</v>
      </c>
      <c r="B127" s="10" t="s">
        <v>103</v>
      </c>
      <c r="C127" s="5" t="s">
        <v>104</v>
      </c>
      <c r="D127" s="6">
        <v>44886.0</v>
      </c>
      <c r="E127" s="7">
        <v>8.0</v>
      </c>
      <c r="F127" s="7">
        <v>0.465398215679829</v>
      </c>
      <c r="G127" s="6">
        <v>45038.0</v>
      </c>
      <c r="H127" s="7">
        <v>0.397664029498302</v>
      </c>
      <c r="I127" s="8"/>
    </row>
    <row r="128" ht="15.75" customHeight="1">
      <c r="A128" s="9" t="s">
        <v>172</v>
      </c>
      <c r="B128" s="4" t="s">
        <v>58</v>
      </c>
      <c r="C128" s="5" t="s">
        <v>59</v>
      </c>
      <c r="D128" s="6">
        <v>44380.0</v>
      </c>
      <c r="E128" s="7">
        <v>2.0</v>
      </c>
      <c r="F128" s="7">
        <v>0.417690168119824</v>
      </c>
      <c r="G128" s="6">
        <v>44990.0</v>
      </c>
      <c r="H128" s="7">
        <v>0.670603057452838</v>
      </c>
      <c r="I128" s="8"/>
    </row>
    <row r="129" ht="15.75" customHeight="1">
      <c r="A129" s="9" t="s">
        <v>173</v>
      </c>
      <c r="B129" s="4" t="s">
        <v>46</v>
      </c>
      <c r="C129" s="5" t="s">
        <v>47</v>
      </c>
      <c r="D129" s="6">
        <v>44661.0</v>
      </c>
      <c r="E129" s="7">
        <v>5.0</v>
      </c>
      <c r="F129" s="7">
        <v>0.908983215197658</v>
      </c>
      <c r="G129" s="6">
        <v>45067.0</v>
      </c>
      <c r="H129" s="7">
        <v>0.710765101627288</v>
      </c>
      <c r="I129" s="8"/>
    </row>
    <row r="130" ht="15.75" customHeight="1">
      <c r="A130" s="9" t="s">
        <v>174</v>
      </c>
      <c r="B130" s="10" t="s">
        <v>103</v>
      </c>
      <c r="C130" s="5" t="s">
        <v>104</v>
      </c>
      <c r="D130" s="6">
        <v>44297.0</v>
      </c>
      <c r="E130" s="7">
        <v>2.0</v>
      </c>
      <c r="F130" s="7">
        <v>0.022277472344418</v>
      </c>
      <c r="G130" s="6">
        <v>45053.0</v>
      </c>
      <c r="H130" s="7">
        <v>0.315725226798268</v>
      </c>
      <c r="I130" s="8"/>
    </row>
    <row r="131" ht="15.75" customHeight="1">
      <c r="A131" s="9" t="s">
        <v>175</v>
      </c>
      <c r="B131" s="4" t="s">
        <v>15</v>
      </c>
      <c r="C131" s="5" t="s">
        <v>10</v>
      </c>
      <c r="D131" s="6">
        <v>44223.0</v>
      </c>
      <c r="E131" s="7">
        <v>10.0</v>
      </c>
      <c r="F131" s="7">
        <v>0.0484656763549157</v>
      </c>
      <c r="G131" s="6">
        <v>45041.0</v>
      </c>
      <c r="H131" s="7">
        <v>0.76568330987062</v>
      </c>
      <c r="I131" s="8"/>
    </row>
    <row r="132" ht="15.75" customHeight="1">
      <c r="A132" s="9" t="s">
        <v>176</v>
      </c>
      <c r="B132" s="4" t="s">
        <v>73</v>
      </c>
      <c r="C132" s="5" t="s">
        <v>74</v>
      </c>
      <c r="D132" s="6">
        <v>44616.0</v>
      </c>
      <c r="E132" s="7">
        <v>10.0</v>
      </c>
      <c r="F132" s="7">
        <v>0.290761784822318</v>
      </c>
      <c r="G132" s="6">
        <v>44945.0</v>
      </c>
      <c r="H132" s="7">
        <v>0.331431235021477</v>
      </c>
      <c r="I132" s="8"/>
    </row>
    <row r="133" ht="15.75" customHeight="1">
      <c r="A133" s="9" t="s">
        <v>177</v>
      </c>
      <c r="B133" s="4" t="s">
        <v>81</v>
      </c>
      <c r="C133" s="5" t="s">
        <v>62</v>
      </c>
      <c r="D133" s="6">
        <v>44398.0</v>
      </c>
      <c r="E133" s="7">
        <v>6.0</v>
      </c>
      <c r="F133" s="7">
        <v>0.744830316027553</v>
      </c>
      <c r="G133" s="6">
        <v>45067.0</v>
      </c>
      <c r="H133" s="7">
        <v>0.456186895360001</v>
      </c>
      <c r="I133" s="8"/>
    </row>
    <row r="134" ht="15.75" customHeight="1">
      <c r="A134" s="9" t="s">
        <v>178</v>
      </c>
      <c r="B134" s="4" t="s">
        <v>30</v>
      </c>
      <c r="C134" s="5" t="s">
        <v>31</v>
      </c>
      <c r="D134" s="6">
        <v>44244.0</v>
      </c>
      <c r="E134" s="7">
        <v>2.0</v>
      </c>
      <c r="F134" s="7">
        <v>0.551458110243953</v>
      </c>
      <c r="G134" s="6">
        <v>44938.0</v>
      </c>
      <c r="H134" s="7">
        <v>0.439427412213193</v>
      </c>
      <c r="I134" s="8"/>
    </row>
    <row r="135" ht="15.75" customHeight="1">
      <c r="A135" s="9" t="s">
        <v>179</v>
      </c>
      <c r="B135" s="4" t="s">
        <v>34</v>
      </c>
      <c r="C135" s="5" t="s">
        <v>35</v>
      </c>
      <c r="D135" s="6">
        <v>44715.0</v>
      </c>
      <c r="E135" s="7">
        <v>2.0</v>
      </c>
      <c r="F135" s="7">
        <v>0.752047819719087</v>
      </c>
      <c r="G135" s="6">
        <v>45016.0</v>
      </c>
      <c r="H135" s="7">
        <v>0.462968228340111</v>
      </c>
      <c r="I135" s="8"/>
    </row>
    <row r="136" ht="15.75" customHeight="1">
      <c r="A136" s="9" t="s">
        <v>180</v>
      </c>
      <c r="B136" s="4" t="s">
        <v>61</v>
      </c>
      <c r="C136" s="5" t="s">
        <v>62</v>
      </c>
      <c r="D136" s="6">
        <v>44225.0</v>
      </c>
      <c r="E136" s="7">
        <v>7.0</v>
      </c>
      <c r="F136" s="7">
        <v>0.476918466343923</v>
      </c>
      <c r="G136" s="6">
        <v>44981.0</v>
      </c>
      <c r="H136" s="7">
        <v>0.462049665707175</v>
      </c>
      <c r="I136" s="8"/>
    </row>
    <row r="137" ht="15.75" customHeight="1">
      <c r="A137" s="9" t="s">
        <v>181</v>
      </c>
      <c r="B137" s="4" t="s">
        <v>129</v>
      </c>
      <c r="C137" s="5" t="s">
        <v>22</v>
      </c>
      <c r="D137" s="6">
        <v>44442.0</v>
      </c>
      <c r="E137" s="7">
        <v>9.0</v>
      </c>
      <c r="F137" s="7">
        <v>0.351563700735118</v>
      </c>
      <c r="G137" s="6">
        <v>45023.0</v>
      </c>
      <c r="H137" s="7">
        <v>0.954422168832544</v>
      </c>
      <c r="I137" s="8"/>
    </row>
    <row r="138" ht="15.75" customHeight="1">
      <c r="A138" s="9" t="s">
        <v>182</v>
      </c>
      <c r="B138" s="4" t="s">
        <v>34</v>
      </c>
      <c r="C138" s="5" t="s">
        <v>35</v>
      </c>
      <c r="D138" s="6">
        <v>44878.0</v>
      </c>
      <c r="E138" s="7">
        <v>3.0</v>
      </c>
      <c r="F138" s="7">
        <v>0.708252824575899</v>
      </c>
      <c r="G138" s="6">
        <v>45047.0</v>
      </c>
      <c r="H138" s="7">
        <v>0.257433496599957</v>
      </c>
      <c r="I138" s="8"/>
    </row>
    <row r="139" ht="15.75" customHeight="1">
      <c r="A139" s="9" t="s">
        <v>183</v>
      </c>
      <c r="B139" s="4" t="s">
        <v>54</v>
      </c>
      <c r="C139" s="5" t="s">
        <v>55</v>
      </c>
      <c r="D139" s="6">
        <v>44535.0</v>
      </c>
      <c r="E139" s="7">
        <v>6.0</v>
      </c>
      <c r="F139" s="7">
        <v>0.0811680663519017</v>
      </c>
      <c r="G139" s="6">
        <v>45004.0</v>
      </c>
      <c r="H139" s="7">
        <v>0.515449853084436</v>
      </c>
      <c r="I139" s="8"/>
    </row>
    <row r="140" ht="15.75" customHeight="1">
      <c r="A140" s="9" t="s">
        <v>184</v>
      </c>
      <c r="B140" s="4" t="s">
        <v>73</v>
      </c>
      <c r="C140" s="5" t="s">
        <v>74</v>
      </c>
      <c r="D140" s="6">
        <v>44815.0</v>
      </c>
      <c r="E140" s="7">
        <v>3.0</v>
      </c>
      <c r="F140" s="7">
        <v>0.447272793975404</v>
      </c>
      <c r="G140" s="6">
        <v>44961.0</v>
      </c>
      <c r="H140" s="7">
        <v>0.72124646028639</v>
      </c>
      <c r="I140" s="8"/>
    </row>
    <row r="141" ht="15.75" customHeight="1">
      <c r="A141" s="9" t="s">
        <v>185</v>
      </c>
      <c r="B141" s="4" t="s">
        <v>30</v>
      </c>
      <c r="C141" s="5" t="s">
        <v>31</v>
      </c>
      <c r="D141" s="6">
        <v>44690.0</v>
      </c>
      <c r="E141" s="7">
        <v>5.0</v>
      </c>
      <c r="F141" s="7">
        <v>0.559961449180416</v>
      </c>
      <c r="G141" s="6">
        <v>44982.0</v>
      </c>
      <c r="H141" s="7">
        <v>0.00408452942046033</v>
      </c>
      <c r="I141" s="8"/>
    </row>
    <row r="142" ht="15.75" customHeight="1">
      <c r="A142" s="9" t="s">
        <v>186</v>
      </c>
      <c r="B142" s="4" t="s">
        <v>129</v>
      </c>
      <c r="C142" s="5" t="s">
        <v>22</v>
      </c>
      <c r="D142" s="6">
        <v>44521.0</v>
      </c>
      <c r="E142" s="7">
        <v>4.0</v>
      </c>
      <c r="F142" s="7">
        <v>0.562306320635779</v>
      </c>
      <c r="G142" s="6">
        <v>45060.0</v>
      </c>
      <c r="H142" s="7">
        <v>0.687431143846122</v>
      </c>
      <c r="I142" s="8"/>
    </row>
    <row r="143" ht="15.75" customHeight="1">
      <c r="A143" s="9" t="s">
        <v>187</v>
      </c>
      <c r="B143" s="4" t="s">
        <v>30</v>
      </c>
      <c r="C143" s="5" t="s">
        <v>31</v>
      </c>
      <c r="D143" s="6">
        <v>44769.0</v>
      </c>
      <c r="E143" s="7">
        <v>5.0</v>
      </c>
      <c r="F143" s="7">
        <v>0.726180429323376</v>
      </c>
      <c r="G143" s="6">
        <v>45013.0</v>
      </c>
      <c r="H143" s="7">
        <v>0.31138195774946</v>
      </c>
      <c r="I143" s="8"/>
    </row>
    <row r="144" ht="15.75" customHeight="1">
      <c r="A144" s="9" t="s">
        <v>188</v>
      </c>
      <c r="B144" s="4" t="s">
        <v>71</v>
      </c>
      <c r="C144" s="5" t="s">
        <v>50</v>
      </c>
      <c r="D144" s="6">
        <v>44206.0</v>
      </c>
      <c r="E144" s="7">
        <v>3.0</v>
      </c>
      <c r="F144" s="7">
        <v>0.113699112632604</v>
      </c>
      <c r="G144" s="6">
        <v>45012.0</v>
      </c>
      <c r="H144" s="7">
        <v>0.0308697950403123</v>
      </c>
      <c r="I144" s="8"/>
    </row>
    <row r="145" ht="15.75" customHeight="1">
      <c r="A145" s="9" t="s">
        <v>189</v>
      </c>
      <c r="B145" s="4" t="s">
        <v>129</v>
      </c>
      <c r="C145" s="5" t="s">
        <v>22</v>
      </c>
      <c r="D145" s="6">
        <v>44822.0</v>
      </c>
      <c r="E145" s="7">
        <v>1.0</v>
      </c>
      <c r="F145" s="7">
        <v>0.0864092222295146</v>
      </c>
      <c r="G145" s="6">
        <v>44945.0</v>
      </c>
      <c r="H145" s="7">
        <v>0.720395287309052</v>
      </c>
      <c r="I145" s="8"/>
    </row>
    <row r="146" ht="15.75" customHeight="1">
      <c r="A146" s="9" t="s">
        <v>190</v>
      </c>
      <c r="B146" s="4" t="s">
        <v>71</v>
      </c>
      <c r="C146" s="5" t="s">
        <v>50</v>
      </c>
      <c r="D146" s="6">
        <v>44484.0</v>
      </c>
      <c r="E146" s="7">
        <v>4.0</v>
      </c>
      <c r="F146" s="7">
        <v>0.573839853564304</v>
      </c>
      <c r="G146" s="6">
        <v>45050.0</v>
      </c>
      <c r="H146" s="7">
        <v>0.741432605108057</v>
      </c>
      <c r="I146" s="8"/>
    </row>
    <row r="147" ht="15.75" customHeight="1">
      <c r="A147" s="9" t="s">
        <v>191</v>
      </c>
      <c r="B147" s="4" t="s">
        <v>27</v>
      </c>
      <c r="C147" s="5" t="s">
        <v>28</v>
      </c>
      <c r="D147" s="6">
        <v>44734.0</v>
      </c>
      <c r="E147" s="7">
        <v>10.0</v>
      </c>
      <c r="F147" s="7">
        <v>0.058312359538941</v>
      </c>
      <c r="G147" s="6">
        <v>45041.0</v>
      </c>
      <c r="H147" s="7">
        <v>0.50418526458824</v>
      </c>
      <c r="I147" s="8"/>
    </row>
    <row r="148" ht="15.75" customHeight="1">
      <c r="A148" s="9" t="s">
        <v>192</v>
      </c>
      <c r="B148" s="4" t="s">
        <v>54</v>
      </c>
      <c r="C148" s="5" t="s">
        <v>55</v>
      </c>
      <c r="D148" s="6">
        <v>44480.0</v>
      </c>
      <c r="E148" s="7">
        <v>7.0</v>
      </c>
      <c r="F148" s="7">
        <v>0.717702757066082</v>
      </c>
      <c r="G148" s="6">
        <v>44936.0</v>
      </c>
      <c r="H148" s="7">
        <v>0.1182538345041</v>
      </c>
      <c r="I148" s="8"/>
    </row>
    <row r="149" ht="15.75" customHeight="1">
      <c r="A149" s="9" t="s">
        <v>193</v>
      </c>
      <c r="B149" s="4" t="s">
        <v>24</v>
      </c>
      <c r="C149" s="5" t="s">
        <v>25</v>
      </c>
      <c r="D149" s="6">
        <v>44534.0</v>
      </c>
      <c r="E149" s="7">
        <v>1.0</v>
      </c>
      <c r="F149" s="7">
        <v>0.291816493582125</v>
      </c>
      <c r="G149" s="6">
        <v>44944.0</v>
      </c>
      <c r="H149" s="7">
        <v>0.595256002600862</v>
      </c>
      <c r="I149" s="8"/>
    </row>
    <row r="150" ht="15.75" customHeight="1">
      <c r="A150" s="9" t="s">
        <v>194</v>
      </c>
      <c r="B150" s="4" t="s">
        <v>58</v>
      </c>
      <c r="C150" s="5" t="s">
        <v>59</v>
      </c>
      <c r="D150" s="6">
        <v>44616.0</v>
      </c>
      <c r="E150" s="7">
        <v>7.0</v>
      </c>
      <c r="F150" s="7">
        <v>0.414754470562451</v>
      </c>
      <c r="G150" s="6">
        <v>44992.0</v>
      </c>
      <c r="H150" s="7">
        <v>0.413029648629804</v>
      </c>
      <c r="I150" s="8"/>
    </row>
    <row r="151" ht="15.75" customHeight="1">
      <c r="A151" s="9" t="s">
        <v>195</v>
      </c>
      <c r="B151" s="4" t="s">
        <v>12</v>
      </c>
      <c r="C151" s="5" t="s">
        <v>13</v>
      </c>
      <c r="D151" s="6">
        <v>44766.0</v>
      </c>
      <c r="E151" s="7">
        <v>3.0</v>
      </c>
      <c r="F151" s="7">
        <v>0.273622029983696</v>
      </c>
      <c r="G151" s="6">
        <v>45026.0</v>
      </c>
      <c r="H151" s="7">
        <v>0.280048735866355</v>
      </c>
      <c r="I151" s="8"/>
    </row>
    <row r="152" ht="15.75" customHeight="1">
      <c r="A152" s="9" t="s">
        <v>196</v>
      </c>
      <c r="B152" s="10" t="s">
        <v>103</v>
      </c>
      <c r="C152" s="5" t="s">
        <v>104</v>
      </c>
      <c r="D152" s="6">
        <v>44857.0</v>
      </c>
      <c r="E152" s="7">
        <v>5.0</v>
      </c>
      <c r="F152" s="7">
        <v>0.369441592106777</v>
      </c>
      <c r="G152" s="6">
        <v>44944.0</v>
      </c>
      <c r="H152" s="7">
        <v>0.835984796629074</v>
      </c>
      <c r="I152" s="8"/>
    </row>
    <row r="153" ht="15.75" customHeight="1">
      <c r="A153" s="9" t="s">
        <v>197</v>
      </c>
      <c r="B153" s="10" t="s">
        <v>103</v>
      </c>
      <c r="C153" s="5" t="s">
        <v>104</v>
      </c>
      <c r="D153" s="6">
        <v>44607.0</v>
      </c>
      <c r="E153" s="7">
        <v>1.0</v>
      </c>
      <c r="F153" s="7">
        <v>0.58311714000128</v>
      </c>
      <c r="G153" s="6">
        <v>44986.0</v>
      </c>
      <c r="H153" s="7">
        <v>0.132094119226041</v>
      </c>
      <c r="I153" s="8"/>
    </row>
    <row r="154" ht="15.75" customHeight="1">
      <c r="A154" s="9" t="s">
        <v>198</v>
      </c>
      <c r="B154" s="4" t="s">
        <v>34</v>
      </c>
      <c r="C154" s="5" t="s">
        <v>35</v>
      </c>
      <c r="D154" s="6">
        <v>44312.0</v>
      </c>
      <c r="E154" s="7">
        <v>6.0</v>
      </c>
      <c r="F154" s="7">
        <v>0.653002977197611</v>
      </c>
      <c r="G154" s="6">
        <v>45013.0</v>
      </c>
      <c r="H154" s="7">
        <v>0.675420253645157</v>
      </c>
      <c r="I154" s="8"/>
    </row>
    <row r="155" ht="15.75" customHeight="1">
      <c r="A155" s="9" t="s">
        <v>199</v>
      </c>
      <c r="B155" s="4" t="s">
        <v>71</v>
      </c>
      <c r="C155" s="5" t="s">
        <v>50</v>
      </c>
      <c r="D155" s="6">
        <v>44684.0</v>
      </c>
      <c r="E155" s="7">
        <v>8.0</v>
      </c>
      <c r="F155" s="7">
        <v>0.291110393845512</v>
      </c>
      <c r="G155" s="6">
        <v>45003.0</v>
      </c>
      <c r="H155" s="7">
        <v>0.677366566605126</v>
      </c>
      <c r="I155" s="8"/>
    </row>
    <row r="156" ht="15.75" customHeight="1">
      <c r="A156" s="9" t="s">
        <v>200</v>
      </c>
      <c r="B156" s="4" t="s">
        <v>71</v>
      </c>
      <c r="C156" s="5" t="s">
        <v>50</v>
      </c>
      <c r="D156" s="6">
        <v>44240.0</v>
      </c>
      <c r="E156" s="7">
        <v>4.0</v>
      </c>
      <c r="F156" s="7">
        <v>0.112536236136402</v>
      </c>
      <c r="G156" s="6">
        <v>45051.0</v>
      </c>
      <c r="H156" s="7">
        <v>0.73892418680528</v>
      </c>
      <c r="I156" s="8"/>
    </row>
    <row r="157" ht="15.75" customHeight="1">
      <c r="A157" s="9" t="s">
        <v>201</v>
      </c>
      <c r="B157" s="4" t="s">
        <v>34</v>
      </c>
      <c r="C157" s="5" t="s">
        <v>35</v>
      </c>
      <c r="D157" s="6">
        <v>44579.0</v>
      </c>
      <c r="E157" s="7">
        <v>9.0</v>
      </c>
      <c r="F157" s="7">
        <v>0.15192205963339</v>
      </c>
      <c r="G157" s="6">
        <v>44999.0</v>
      </c>
      <c r="H157" s="7">
        <v>0.201508574785364</v>
      </c>
      <c r="I157" s="8"/>
    </row>
    <row r="158" ht="15.75" customHeight="1">
      <c r="A158" s="9" t="s">
        <v>202</v>
      </c>
      <c r="B158" s="10" t="s">
        <v>103</v>
      </c>
      <c r="C158" s="5" t="s">
        <v>104</v>
      </c>
      <c r="D158" s="6">
        <v>44830.0</v>
      </c>
      <c r="E158" s="7">
        <v>2.0</v>
      </c>
      <c r="F158" s="7">
        <v>0.281515472870297</v>
      </c>
      <c r="G158" s="6">
        <v>44971.0</v>
      </c>
      <c r="H158" s="7">
        <v>0.112845737208008</v>
      </c>
      <c r="I158" s="8"/>
    </row>
    <row r="159" ht="15.75" customHeight="1">
      <c r="A159" s="9" t="s">
        <v>203</v>
      </c>
      <c r="B159" s="4" t="s">
        <v>9</v>
      </c>
      <c r="C159" s="5" t="s">
        <v>10</v>
      </c>
      <c r="D159" s="6">
        <v>44580.0</v>
      </c>
      <c r="E159" s="7">
        <v>2.0</v>
      </c>
      <c r="F159" s="7">
        <v>0.472942922080577</v>
      </c>
      <c r="G159" s="6">
        <v>45023.0</v>
      </c>
      <c r="H159" s="7">
        <v>0.792122652040759</v>
      </c>
      <c r="I159" s="8"/>
    </row>
    <row r="160" ht="15.75" customHeight="1">
      <c r="A160" s="9" t="s">
        <v>204</v>
      </c>
      <c r="B160" s="4" t="s">
        <v>9</v>
      </c>
      <c r="C160" s="5" t="s">
        <v>10</v>
      </c>
      <c r="D160" s="6">
        <v>44605.0</v>
      </c>
      <c r="E160" s="7">
        <v>2.0</v>
      </c>
      <c r="F160" s="7">
        <v>0.958276802514718</v>
      </c>
      <c r="G160" s="6">
        <v>45009.0</v>
      </c>
      <c r="H160" s="7">
        <v>0.896602654793224</v>
      </c>
      <c r="I160" s="8"/>
    </row>
    <row r="161" ht="15.75" customHeight="1">
      <c r="A161" s="9" t="s">
        <v>205</v>
      </c>
      <c r="B161" s="4" t="s">
        <v>39</v>
      </c>
      <c r="C161" s="5" t="s">
        <v>40</v>
      </c>
      <c r="D161" s="6">
        <v>44604.0</v>
      </c>
      <c r="E161" s="7">
        <v>2.0</v>
      </c>
      <c r="F161" s="7">
        <v>0.27963347908695</v>
      </c>
      <c r="G161" s="6">
        <v>44949.0</v>
      </c>
      <c r="H161" s="7">
        <v>0.248541910176975</v>
      </c>
      <c r="I161" s="8"/>
    </row>
    <row r="162" ht="15.75" customHeight="1">
      <c r="A162" s="9" t="s">
        <v>206</v>
      </c>
      <c r="B162" s="4" t="s">
        <v>61</v>
      </c>
      <c r="C162" s="5" t="s">
        <v>62</v>
      </c>
      <c r="D162" s="6">
        <v>44257.0</v>
      </c>
      <c r="E162" s="7">
        <v>8.0</v>
      </c>
      <c r="F162" s="7">
        <v>0.434644149591145</v>
      </c>
      <c r="G162" s="6">
        <v>44955.0</v>
      </c>
      <c r="H162" s="7">
        <v>0.625342854199327</v>
      </c>
      <c r="I162" s="8"/>
    </row>
    <row r="163" ht="15.75" customHeight="1">
      <c r="A163" s="9" t="s">
        <v>207</v>
      </c>
      <c r="B163" s="4" t="s">
        <v>49</v>
      </c>
      <c r="C163" s="5" t="s">
        <v>50</v>
      </c>
      <c r="D163" s="6">
        <v>44745.0</v>
      </c>
      <c r="E163" s="7">
        <v>5.0</v>
      </c>
      <c r="F163" s="7">
        <v>0.748385809537101</v>
      </c>
      <c r="G163" s="6">
        <v>44980.0</v>
      </c>
      <c r="H163" s="7">
        <v>0.562393893477842</v>
      </c>
      <c r="I163" s="8"/>
    </row>
    <row r="164" ht="15.75" customHeight="1">
      <c r="A164" s="9" t="s">
        <v>208</v>
      </c>
      <c r="B164" s="4" t="s">
        <v>30</v>
      </c>
      <c r="C164" s="5" t="s">
        <v>31</v>
      </c>
      <c r="D164" s="6">
        <v>44916.0</v>
      </c>
      <c r="E164" s="7">
        <v>6.0</v>
      </c>
      <c r="F164" s="7">
        <v>0.480459010297799</v>
      </c>
      <c r="G164" s="6">
        <v>45064.0</v>
      </c>
      <c r="H164" s="7">
        <v>0.433788778732414</v>
      </c>
      <c r="I164" s="8"/>
    </row>
    <row r="165" ht="15.75" customHeight="1">
      <c r="A165" s="9" t="s">
        <v>209</v>
      </c>
      <c r="B165" s="4" t="s">
        <v>58</v>
      </c>
      <c r="C165" s="5" t="s">
        <v>59</v>
      </c>
      <c r="D165" s="6">
        <v>44354.0</v>
      </c>
      <c r="E165" s="7">
        <v>7.0</v>
      </c>
      <c r="F165" s="7">
        <v>0.987449297246468</v>
      </c>
      <c r="G165" s="6">
        <v>45049.0</v>
      </c>
      <c r="H165" s="7">
        <v>0.211633603814439</v>
      </c>
      <c r="I165" s="8"/>
    </row>
    <row r="166" ht="15.75" customHeight="1">
      <c r="A166" s="9" t="s">
        <v>210</v>
      </c>
      <c r="B166" s="4" t="s">
        <v>9</v>
      </c>
      <c r="C166" s="5" t="s">
        <v>10</v>
      </c>
      <c r="D166" s="6">
        <v>44711.0</v>
      </c>
      <c r="E166" s="7">
        <v>3.0</v>
      </c>
      <c r="F166" s="7">
        <v>0.0524790965783983</v>
      </c>
      <c r="G166" s="6">
        <v>45069.0</v>
      </c>
      <c r="H166" s="7">
        <v>0.0583900556719514</v>
      </c>
      <c r="I166" s="8"/>
    </row>
    <row r="167" ht="15.75" customHeight="1">
      <c r="A167" s="9" t="s">
        <v>211</v>
      </c>
      <c r="B167" s="4" t="s">
        <v>49</v>
      </c>
      <c r="C167" s="5" t="s">
        <v>50</v>
      </c>
      <c r="D167" s="6">
        <v>44801.0</v>
      </c>
      <c r="E167" s="7">
        <v>4.0</v>
      </c>
      <c r="F167" s="7">
        <v>0.0636383389643668</v>
      </c>
      <c r="G167" s="6">
        <v>45014.0</v>
      </c>
      <c r="H167" s="7">
        <v>0.822225191511173</v>
      </c>
      <c r="I167" s="8"/>
    </row>
    <row r="168" ht="15.75" customHeight="1">
      <c r="A168" s="9" t="s">
        <v>212</v>
      </c>
      <c r="B168" s="4" t="s">
        <v>21</v>
      </c>
      <c r="C168" s="5" t="s">
        <v>22</v>
      </c>
      <c r="D168" s="6">
        <v>44515.0</v>
      </c>
      <c r="E168" s="7">
        <v>3.0</v>
      </c>
      <c r="F168" s="7">
        <v>0.0703277008445072</v>
      </c>
      <c r="G168" s="6">
        <v>44974.0</v>
      </c>
      <c r="H168" s="7">
        <v>0.0941124601132334</v>
      </c>
      <c r="I168" s="8"/>
    </row>
    <row r="169" ht="15.75" customHeight="1">
      <c r="A169" s="9" t="s">
        <v>213</v>
      </c>
      <c r="B169" s="4" t="s">
        <v>81</v>
      </c>
      <c r="C169" s="5" t="s">
        <v>62</v>
      </c>
      <c r="D169" s="6">
        <v>44897.0</v>
      </c>
      <c r="E169" s="7">
        <v>3.0</v>
      </c>
      <c r="F169" s="7">
        <v>0.950576207067785</v>
      </c>
      <c r="G169" s="6">
        <v>45040.0</v>
      </c>
      <c r="H169" s="7">
        <v>0.961634227197106</v>
      </c>
      <c r="I169" s="8"/>
    </row>
    <row r="170" ht="15.75" customHeight="1">
      <c r="A170" s="9" t="s">
        <v>214</v>
      </c>
      <c r="B170" s="10" t="s">
        <v>103</v>
      </c>
      <c r="C170" s="5" t="s">
        <v>104</v>
      </c>
      <c r="D170" s="6">
        <v>44903.0</v>
      </c>
      <c r="E170" s="7">
        <v>1.0</v>
      </c>
      <c r="F170" s="7">
        <v>0.481773695398714</v>
      </c>
      <c r="G170" s="6">
        <v>45046.0</v>
      </c>
      <c r="H170" s="7">
        <v>0.928344983342104</v>
      </c>
      <c r="I170" s="8"/>
    </row>
    <row r="171" ht="15.75" customHeight="1">
      <c r="A171" s="9" t="s">
        <v>215</v>
      </c>
      <c r="B171" s="4" t="s">
        <v>54</v>
      </c>
      <c r="C171" s="5" t="s">
        <v>55</v>
      </c>
      <c r="D171" s="6">
        <v>44204.0</v>
      </c>
      <c r="E171" s="7">
        <v>2.0</v>
      </c>
      <c r="F171" s="7">
        <v>0.430980531002173</v>
      </c>
      <c r="G171" s="6">
        <v>44948.0</v>
      </c>
      <c r="H171" s="7">
        <v>0.437312218473819</v>
      </c>
      <c r="I171" s="8"/>
    </row>
    <row r="172" ht="15.75" customHeight="1">
      <c r="A172" s="9" t="s">
        <v>216</v>
      </c>
      <c r="B172" s="4" t="s">
        <v>24</v>
      </c>
      <c r="C172" s="5" t="s">
        <v>25</v>
      </c>
      <c r="D172" s="6">
        <v>44439.0</v>
      </c>
      <c r="E172" s="7">
        <v>8.0</v>
      </c>
      <c r="F172" s="7">
        <v>0.597354765233944</v>
      </c>
      <c r="G172" s="6">
        <v>44982.0</v>
      </c>
      <c r="H172" s="7">
        <v>0.168227582984315</v>
      </c>
      <c r="I172" s="8"/>
    </row>
    <row r="173" ht="15.75" customHeight="1">
      <c r="A173" s="9" t="s">
        <v>217</v>
      </c>
      <c r="B173" s="4" t="s">
        <v>24</v>
      </c>
      <c r="C173" s="5" t="s">
        <v>25</v>
      </c>
      <c r="D173" s="6">
        <v>44449.0</v>
      </c>
      <c r="E173" s="7">
        <v>6.0</v>
      </c>
      <c r="F173" s="7">
        <v>0.262802693788648</v>
      </c>
      <c r="G173" s="6">
        <v>45014.0</v>
      </c>
      <c r="H173" s="7">
        <v>0.148230804890663</v>
      </c>
      <c r="I173" s="8"/>
    </row>
    <row r="174" ht="15.75" customHeight="1">
      <c r="A174" s="9" t="s">
        <v>218</v>
      </c>
      <c r="B174" s="4" t="s">
        <v>49</v>
      </c>
      <c r="C174" s="5" t="s">
        <v>50</v>
      </c>
      <c r="D174" s="6">
        <v>44779.0</v>
      </c>
      <c r="E174" s="7">
        <v>4.0</v>
      </c>
      <c r="F174" s="7">
        <v>0.902841108744779</v>
      </c>
      <c r="G174" s="6">
        <v>45008.0</v>
      </c>
      <c r="H174" s="7">
        <v>0.635075694544385</v>
      </c>
      <c r="I174" s="8"/>
    </row>
    <row r="175" ht="15.75" customHeight="1">
      <c r="A175" s="9" t="s">
        <v>219</v>
      </c>
      <c r="B175" s="4" t="s">
        <v>17</v>
      </c>
      <c r="C175" s="5" t="s">
        <v>18</v>
      </c>
      <c r="D175" s="6">
        <v>44241.0</v>
      </c>
      <c r="E175" s="7">
        <v>6.0</v>
      </c>
      <c r="F175" s="7">
        <v>0.981992619953266</v>
      </c>
      <c r="G175" s="6">
        <v>44994.0</v>
      </c>
      <c r="H175" s="7">
        <v>0.544811239228047</v>
      </c>
      <c r="I175" s="8"/>
    </row>
    <row r="176" ht="15.75" customHeight="1">
      <c r="A176" s="9" t="s">
        <v>220</v>
      </c>
      <c r="B176" s="4" t="s">
        <v>43</v>
      </c>
      <c r="C176" s="5" t="s">
        <v>44</v>
      </c>
      <c r="D176" s="6">
        <v>44229.0</v>
      </c>
      <c r="E176" s="7">
        <v>3.0</v>
      </c>
      <c r="F176" s="7">
        <v>0.847160394630762</v>
      </c>
      <c r="G176" s="6">
        <v>45067.0</v>
      </c>
      <c r="H176" s="7">
        <v>0.0130861877444158</v>
      </c>
      <c r="I176" s="8"/>
    </row>
    <row r="177" ht="15.75" customHeight="1">
      <c r="A177" s="9" t="s">
        <v>221</v>
      </c>
      <c r="B177" s="4" t="s">
        <v>129</v>
      </c>
      <c r="C177" s="5" t="s">
        <v>22</v>
      </c>
      <c r="D177" s="6">
        <v>44836.0</v>
      </c>
      <c r="E177" s="7">
        <v>5.0</v>
      </c>
      <c r="F177" s="7">
        <v>0.30637569785375</v>
      </c>
      <c r="G177" s="6">
        <v>45008.0</v>
      </c>
      <c r="H177" s="7">
        <v>0.00125503463839893</v>
      </c>
      <c r="I177" s="8"/>
    </row>
    <row r="178" ht="15.75" customHeight="1">
      <c r="A178" s="9" t="s">
        <v>222</v>
      </c>
      <c r="B178" s="4" t="s">
        <v>49</v>
      </c>
      <c r="C178" s="5" t="s">
        <v>50</v>
      </c>
      <c r="D178" s="6">
        <v>44211.0</v>
      </c>
      <c r="E178" s="7">
        <v>6.0</v>
      </c>
      <c r="F178" s="7">
        <v>0.768799125767728</v>
      </c>
      <c r="G178" s="6">
        <v>45006.0</v>
      </c>
      <c r="H178" s="7">
        <v>0.865485337556761</v>
      </c>
      <c r="I178" s="8"/>
    </row>
    <row r="179" ht="15.75" customHeight="1">
      <c r="A179" s="9" t="s">
        <v>223</v>
      </c>
      <c r="B179" s="4" t="s">
        <v>34</v>
      </c>
      <c r="C179" s="5" t="s">
        <v>35</v>
      </c>
      <c r="D179" s="6">
        <v>44514.0</v>
      </c>
      <c r="E179" s="7">
        <v>7.0</v>
      </c>
      <c r="F179" s="7">
        <v>0.385639920385436</v>
      </c>
      <c r="G179" s="6">
        <v>45004.0</v>
      </c>
      <c r="H179" s="7">
        <v>0.508902669316179</v>
      </c>
      <c r="I179" s="8"/>
    </row>
    <row r="180" ht="15.75" customHeight="1">
      <c r="A180" s="9" t="s">
        <v>224</v>
      </c>
      <c r="B180" s="4" t="s">
        <v>81</v>
      </c>
      <c r="C180" s="5" t="s">
        <v>62</v>
      </c>
      <c r="D180" s="6">
        <v>44309.0</v>
      </c>
      <c r="E180" s="7">
        <v>8.0</v>
      </c>
      <c r="F180" s="7">
        <v>0.853359772775913</v>
      </c>
      <c r="G180" s="6">
        <v>45021.0</v>
      </c>
      <c r="H180" s="7">
        <v>0.992072819954332</v>
      </c>
      <c r="I180" s="8"/>
    </row>
    <row r="181" ht="15.75" customHeight="1">
      <c r="A181" s="9" t="s">
        <v>225</v>
      </c>
      <c r="B181" s="4" t="s">
        <v>12</v>
      </c>
      <c r="C181" s="5" t="s">
        <v>13</v>
      </c>
      <c r="D181" s="6">
        <v>44289.0</v>
      </c>
      <c r="E181" s="7">
        <v>5.0</v>
      </c>
      <c r="F181" s="7">
        <v>0.283348976547432</v>
      </c>
      <c r="G181" s="6">
        <v>44965.0</v>
      </c>
      <c r="H181" s="7">
        <v>0.634540535139773</v>
      </c>
      <c r="I181" s="8"/>
    </row>
    <row r="182" ht="15.75" customHeight="1">
      <c r="A182" s="9" t="s">
        <v>226</v>
      </c>
      <c r="B182" s="4" t="s">
        <v>81</v>
      </c>
      <c r="C182" s="5" t="s">
        <v>62</v>
      </c>
      <c r="D182" s="6">
        <v>44572.0</v>
      </c>
      <c r="E182" s="7">
        <v>3.0</v>
      </c>
      <c r="F182" s="7">
        <v>0.117748642112043</v>
      </c>
      <c r="G182" s="6">
        <v>45073.0</v>
      </c>
      <c r="H182" s="7">
        <v>0.670924309056171</v>
      </c>
      <c r="I182" s="8"/>
    </row>
    <row r="183" ht="15.75" customHeight="1">
      <c r="A183" s="9" t="s">
        <v>227</v>
      </c>
      <c r="B183" s="4" t="s">
        <v>39</v>
      </c>
      <c r="C183" s="5" t="s">
        <v>40</v>
      </c>
      <c r="D183" s="6">
        <v>44790.0</v>
      </c>
      <c r="E183" s="7">
        <v>5.0</v>
      </c>
      <c r="F183" s="7">
        <v>0.767839165190827</v>
      </c>
      <c r="G183" s="6">
        <v>45021.0</v>
      </c>
      <c r="H183" s="7">
        <v>0.240998710395578</v>
      </c>
      <c r="I183" s="8"/>
    </row>
    <row r="184" ht="15.75" customHeight="1">
      <c r="A184" s="9" t="s">
        <v>228</v>
      </c>
      <c r="B184" s="4" t="s">
        <v>39</v>
      </c>
      <c r="C184" s="5" t="s">
        <v>40</v>
      </c>
      <c r="D184" s="6">
        <v>44766.0</v>
      </c>
      <c r="E184" s="7">
        <v>2.0</v>
      </c>
      <c r="F184" s="7">
        <v>0.148067133151518</v>
      </c>
      <c r="G184" s="6">
        <v>45051.0</v>
      </c>
      <c r="H184" s="7">
        <v>0.312315972509696</v>
      </c>
      <c r="I184" s="8"/>
    </row>
    <row r="185" ht="15.75" customHeight="1">
      <c r="A185" s="9" t="s">
        <v>229</v>
      </c>
      <c r="B185" s="4" t="s">
        <v>39</v>
      </c>
      <c r="C185" s="5" t="s">
        <v>40</v>
      </c>
      <c r="D185" s="6">
        <v>44577.0</v>
      </c>
      <c r="E185" s="7">
        <v>7.0</v>
      </c>
      <c r="F185" s="7">
        <v>0.00788856513902569</v>
      </c>
      <c r="G185" s="6">
        <v>45037.0</v>
      </c>
      <c r="H185" s="7">
        <v>0.420019467308833</v>
      </c>
      <c r="I185" s="8"/>
    </row>
    <row r="186" ht="15.75" customHeight="1">
      <c r="A186" s="9" t="s">
        <v>230</v>
      </c>
      <c r="B186" s="4" t="s">
        <v>73</v>
      </c>
      <c r="C186" s="5" t="s">
        <v>74</v>
      </c>
      <c r="D186" s="6">
        <v>44416.0</v>
      </c>
      <c r="E186" s="7">
        <v>7.0</v>
      </c>
      <c r="F186" s="7">
        <v>0.0650265580748504</v>
      </c>
      <c r="G186" s="6">
        <v>45005.0</v>
      </c>
      <c r="H186" s="7">
        <v>0.566596656084567</v>
      </c>
      <c r="I186" s="8"/>
    </row>
    <row r="187" ht="15.75" customHeight="1">
      <c r="A187" s="9" t="s">
        <v>231</v>
      </c>
      <c r="B187" s="4" t="s">
        <v>15</v>
      </c>
      <c r="C187" s="5" t="s">
        <v>10</v>
      </c>
      <c r="D187" s="6">
        <v>44883.0</v>
      </c>
      <c r="E187" s="7">
        <v>1.0</v>
      </c>
      <c r="F187" s="7">
        <v>0.307778436235727</v>
      </c>
      <c r="G187" s="6">
        <v>44963.0</v>
      </c>
      <c r="H187" s="7">
        <v>0.172453184843159</v>
      </c>
      <c r="I187" s="8"/>
    </row>
    <row r="188" ht="15.75" customHeight="1">
      <c r="A188" s="9" t="s">
        <v>232</v>
      </c>
      <c r="B188" s="4" t="s">
        <v>27</v>
      </c>
      <c r="C188" s="5" t="s">
        <v>28</v>
      </c>
      <c r="D188" s="6">
        <v>44214.0</v>
      </c>
      <c r="E188" s="7">
        <v>5.0</v>
      </c>
      <c r="F188" s="7">
        <v>0.1874453216227</v>
      </c>
      <c r="G188" s="6">
        <v>44961.0</v>
      </c>
      <c r="H188" s="7">
        <v>0.229110643668503</v>
      </c>
      <c r="I188" s="8"/>
    </row>
    <row r="189" ht="15.75" customHeight="1">
      <c r="A189" s="9" t="s">
        <v>233</v>
      </c>
      <c r="B189" s="4" t="s">
        <v>43</v>
      </c>
      <c r="C189" s="5" t="s">
        <v>44</v>
      </c>
      <c r="D189" s="6">
        <v>44403.0</v>
      </c>
      <c r="E189" s="7">
        <v>6.0</v>
      </c>
      <c r="F189" s="7">
        <v>0.833001404064543</v>
      </c>
      <c r="G189" s="6">
        <v>45026.0</v>
      </c>
      <c r="H189" s="7">
        <v>0.702421479255572</v>
      </c>
      <c r="I189" s="8"/>
    </row>
    <row r="190" ht="15.75" customHeight="1">
      <c r="A190" s="9" t="s">
        <v>234</v>
      </c>
      <c r="B190" s="4" t="s">
        <v>34</v>
      </c>
      <c r="C190" s="5" t="s">
        <v>35</v>
      </c>
      <c r="D190" s="6">
        <v>44694.0</v>
      </c>
      <c r="E190" s="7">
        <v>3.0</v>
      </c>
      <c r="F190" s="7">
        <v>0.277275168563336</v>
      </c>
      <c r="G190" s="6">
        <v>45036.0</v>
      </c>
      <c r="H190" s="7">
        <v>0.341995646724563</v>
      </c>
      <c r="I190" s="8"/>
    </row>
    <row r="191" ht="15.75" customHeight="1">
      <c r="A191" s="9" t="s">
        <v>235</v>
      </c>
      <c r="B191" s="4" t="s">
        <v>9</v>
      </c>
      <c r="C191" s="5" t="s">
        <v>10</v>
      </c>
      <c r="D191" s="6">
        <v>44199.0</v>
      </c>
      <c r="E191" s="7">
        <v>2.0</v>
      </c>
      <c r="F191" s="7">
        <v>0.223562660531905</v>
      </c>
      <c r="G191" s="6">
        <v>44951.0</v>
      </c>
      <c r="H191" s="7">
        <v>0.432175043428189</v>
      </c>
      <c r="I191" s="8"/>
    </row>
    <row r="192" ht="15.75" customHeight="1">
      <c r="A192" s="9" t="s">
        <v>236</v>
      </c>
      <c r="B192" s="4" t="s">
        <v>46</v>
      </c>
      <c r="C192" s="5" t="s">
        <v>47</v>
      </c>
      <c r="D192" s="6">
        <v>44606.0</v>
      </c>
      <c r="E192" s="7">
        <v>6.0</v>
      </c>
      <c r="F192" s="7">
        <v>0.644470994940373</v>
      </c>
      <c r="G192" s="6">
        <v>44975.0</v>
      </c>
      <c r="H192" s="7">
        <v>0.965670270763967</v>
      </c>
      <c r="I192" s="8"/>
    </row>
    <row r="193" ht="15.75" customHeight="1">
      <c r="A193" s="9" t="s">
        <v>237</v>
      </c>
      <c r="B193" s="4" t="s">
        <v>49</v>
      </c>
      <c r="C193" s="5" t="s">
        <v>50</v>
      </c>
      <c r="D193" s="6">
        <v>44760.0</v>
      </c>
      <c r="E193" s="7">
        <v>6.0</v>
      </c>
      <c r="F193" s="7">
        <v>0.919374494239764</v>
      </c>
      <c r="G193" s="6">
        <v>44941.0</v>
      </c>
      <c r="H193" s="7">
        <v>0.808556855480658</v>
      </c>
      <c r="I193" s="8"/>
    </row>
    <row r="194" ht="15.75" customHeight="1">
      <c r="A194" s="9" t="s">
        <v>238</v>
      </c>
      <c r="B194" s="4" t="s">
        <v>71</v>
      </c>
      <c r="C194" s="5" t="s">
        <v>50</v>
      </c>
      <c r="D194" s="6">
        <v>44391.0</v>
      </c>
      <c r="E194" s="7">
        <v>1.0</v>
      </c>
      <c r="F194" s="7">
        <v>0.263777831917717</v>
      </c>
      <c r="G194" s="6">
        <v>44943.0</v>
      </c>
      <c r="H194" s="7">
        <v>0.534643918689762</v>
      </c>
      <c r="I194" s="8"/>
    </row>
    <row r="195" ht="15.75" customHeight="1">
      <c r="A195" s="9" t="s">
        <v>239</v>
      </c>
      <c r="B195" s="4" t="s">
        <v>27</v>
      </c>
      <c r="C195" s="5" t="s">
        <v>28</v>
      </c>
      <c r="D195" s="6">
        <v>44457.0</v>
      </c>
      <c r="E195" s="7">
        <v>3.0</v>
      </c>
      <c r="F195" s="7">
        <v>0.483760186480206</v>
      </c>
      <c r="G195" s="6">
        <v>44983.0</v>
      </c>
      <c r="H195" s="7">
        <v>0.289767433614382</v>
      </c>
      <c r="I195" s="8"/>
    </row>
    <row r="196" ht="15.75" customHeight="1">
      <c r="A196" s="9" t="s">
        <v>240</v>
      </c>
      <c r="B196" s="4" t="s">
        <v>58</v>
      </c>
      <c r="C196" s="5" t="s">
        <v>59</v>
      </c>
      <c r="D196" s="6">
        <v>44409.0</v>
      </c>
      <c r="E196" s="7">
        <v>2.0</v>
      </c>
      <c r="F196" s="7">
        <v>0.566496413641781</v>
      </c>
      <c r="G196" s="6">
        <v>44948.0</v>
      </c>
      <c r="H196" s="7">
        <v>0.760194002480919</v>
      </c>
      <c r="I196" s="8"/>
    </row>
    <row r="197" ht="15.75" customHeight="1">
      <c r="A197" s="9" t="s">
        <v>241</v>
      </c>
      <c r="B197" s="10" t="s">
        <v>103</v>
      </c>
      <c r="C197" s="5" t="s">
        <v>104</v>
      </c>
      <c r="D197" s="6">
        <v>44229.0</v>
      </c>
      <c r="E197" s="7">
        <v>10.0</v>
      </c>
      <c r="F197" s="7">
        <v>0.817583929278103</v>
      </c>
      <c r="G197" s="6">
        <v>44937.0</v>
      </c>
      <c r="H197" s="7">
        <v>0.164197981092514</v>
      </c>
      <c r="I197" s="8"/>
    </row>
    <row r="198" ht="15.75" customHeight="1">
      <c r="A198" s="9" t="s">
        <v>242</v>
      </c>
      <c r="B198" s="4" t="s">
        <v>46</v>
      </c>
      <c r="C198" s="5" t="s">
        <v>47</v>
      </c>
      <c r="D198" s="6">
        <v>44412.0</v>
      </c>
      <c r="E198" s="7">
        <v>5.0</v>
      </c>
      <c r="F198" s="7">
        <v>0.241474251616397</v>
      </c>
      <c r="G198" s="6">
        <v>45005.0</v>
      </c>
      <c r="H198" s="7">
        <v>0.23302367858984</v>
      </c>
      <c r="I198" s="8"/>
    </row>
    <row r="199" ht="15.75" customHeight="1">
      <c r="A199" s="9" t="s">
        <v>243</v>
      </c>
      <c r="B199" s="4" t="s">
        <v>58</v>
      </c>
      <c r="C199" s="5" t="s">
        <v>59</v>
      </c>
      <c r="D199" s="6">
        <v>44828.0</v>
      </c>
      <c r="E199" s="7">
        <v>6.0</v>
      </c>
      <c r="F199" s="7">
        <v>0.512917713984901</v>
      </c>
      <c r="G199" s="6">
        <v>44987.0</v>
      </c>
      <c r="H199" s="7">
        <v>0.755021488484095</v>
      </c>
      <c r="I199" s="8"/>
    </row>
    <row r="200" ht="15.75" customHeight="1">
      <c r="A200" s="9" t="s">
        <v>244</v>
      </c>
      <c r="B200" s="4" t="s">
        <v>73</v>
      </c>
      <c r="C200" s="5" t="s">
        <v>74</v>
      </c>
      <c r="D200" s="6">
        <v>44742.0</v>
      </c>
      <c r="E200" s="7">
        <v>9.0</v>
      </c>
      <c r="F200" s="7">
        <v>0.300943682682896</v>
      </c>
      <c r="G200" s="6">
        <v>45037.0</v>
      </c>
      <c r="H200" s="7">
        <v>0.559830020834552</v>
      </c>
      <c r="I200" s="8"/>
    </row>
    <row r="201" ht="15.75" customHeight="1">
      <c r="A201" s="9" t="s">
        <v>245</v>
      </c>
      <c r="B201" s="4" t="s">
        <v>58</v>
      </c>
      <c r="C201" s="5" t="s">
        <v>59</v>
      </c>
      <c r="D201" s="6">
        <v>44502.0</v>
      </c>
      <c r="E201" s="7">
        <v>8.0</v>
      </c>
      <c r="F201" s="7">
        <v>0.913528094419053</v>
      </c>
      <c r="G201" s="6">
        <v>44978.0</v>
      </c>
      <c r="H201" s="7">
        <v>0.137985792121295</v>
      </c>
      <c r="I201" s="8"/>
    </row>
    <row r="202" ht="15.75" customHeight="1">
      <c r="A202" s="12"/>
      <c r="B202" s="13"/>
      <c r="C202" s="8"/>
      <c r="D202" s="14"/>
      <c r="E202" s="8"/>
      <c r="F202" s="8"/>
      <c r="G202" s="14"/>
      <c r="H202" s="8"/>
      <c r="I202" s="8"/>
    </row>
    <row r="203" ht="15.75" customHeight="1">
      <c r="A203" s="12"/>
      <c r="B203" s="13"/>
      <c r="C203" s="8"/>
      <c r="D203" s="15" t="s">
        <v>246</v>
      </c>
      <c r="E203" s="8"/>
      <c r="F203" s="8"/>
      <c r="G203" s="16"/>
      <c r="H203" s="8"/>
      <c r="I203" s="8"/>
    </row>
    <row r="204" ht="15.75" customHeight="1">
      <c r="A204" s="12"/>
      <c r="B204" s="13"/>
      <c r="C204" s="8"/>
      <c r="D204" s="17"/>
      <c r="E204" s="8"/>
      <c r="F204" s="8"/>
      <c r="G204" s="8"/>
      <c r="H204" s="8"/>
      <c r="I204" s="8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2"/>
    <hyperlink r:id="rId70" ref="B73"/>
    <hyperlink r:id="rId71" ref="B74"/>
    <hyperlink r:id="rId72" ref="B75"/>
    <hyperlink r:id="rId73" ref="B76"/>
    <hyperlink r:id="rId74" ref="B77"/>
    <hyperlink r:id="rId75" ref="B78"/>
    <hyperlink r:id="rId76" ref="B79"/>
    <hyperlink r:id="rId77" ref="B80"/>
    <hyperlink r:id="rId78" ref="B81"/>
    <hyperlink r:id="rId79" ref="B83"/>
    <hyperlink r:id="rId80" ref="B84"/>
    <hyperlink r:id="rId81" ref="B85"/>
    <hyperlink r:id="rId82" ref="B86"/>
    <hyperlink r:id="rId83" ref="B87"/>
    <hyperlink r:id="rId84" ref="B89"/>
    <hyperlink r:id="rId85" ref="B90"/>
    <hyperlink r:id="rId86" ref="B91"/>
    <hyperlink r:id="rId87" ref="B92"/>
    <hyperlink r:id="rId88" ref="B93"/>
    <hyperlink r:id="rId89" ref="B94"/>
    <hyperlink r:id="rId90" ref="B96"/>
    <hyperlink r:id="rId91" ref="B97"/>
    <hyperlink r:id="rId92" ref="B99"/>
    <hyperlink r:id="rId93" ref="B100"/>
    <hyperlink r:id="rId94" ref="B101"/>
    <hyperlink r:id="rId95" ref="B103"/>
    <hyperlink r:id="rId96" ref="B104"/>
    <hyperlink r:id="rId97" ref="B106"/>
    <hyperlink r:id="rId98" ref="B107"/>
    <hyperlink r:id="rId99" ref="B108"/>
    <hyperlink r:id="rId100" ref="B109"/>
    <hyperlink r:id="rId101" ref="B110"/>
    <hyperlink r:id="rId102" ref="B111"/>
    <hyperlink r:id="rId103" ref="B112"/>
    <hyperlink r:id="rId104" ref="B113"/>
    <hyperlink r:id="rId105" ref="B114"/>
    <hyperlink r:id="rId106" ref="B115"/>
    <hyperlink r:id="rId107" ref="B116"/>
    <hyperlink r:id="rId108" ref="B117"/>
    <hyperlink r:id="rId109" ref="B119"/>
    <hyperlink r:id="rId110" ref="B120"/>
    <hyperlink r:id="rId111" ref="B121"/>
    <hyperlink r:id="rId112" ref="B122"/>
    <hyperlink r:id="rId113" ref="B123"/>
    <hyperlink r:id="rId114" ref="B124"/>
    <hyperlink r:id="rId115" ref="B125"/>
    <hyperlink r:id="rId116" ref="B126"/>
    <hyperlink r:id="rId117" ref="B128"/>
    <hyperlink r:id="rId118" ref="B129"/>
    <hyperlink r:id="rId119" ref="B131"/>
    <hyperlink r:id="rId120" ref="B132"/>
    <hyperlink r:id="rId121" ref="B133"/>
    <hyperlink r:id="rId122" ref="B134"/>
    <hyperlink r:id="rId123" ref="B135"/>
    <hyperlink r:id="rId124" ref="B136"/>
    <hyperlink r:id="rId125" ref="B137"/>
    <hyperlink r:id="rId126" ref="B138"/>
    <hyperlink r:id="rId127" ref="B139"/>
    <hyperlink r:id="rId128" ref="B140"/>
    <hyperlink r:id="rId129" ref="B141"/>
    <hyperlink r:id="rId130" ref="B142"/>
    <hyperlink r:id="rId131" ref="B143"/>
    <hyperlink r:id="rId132" ref="B144"/>
    <hyperlink r:id="rId133" ref="B145"/>
    <hyperlink r:id="rId134" ref="B146"/>
    <hyperlink r:id="rId135" ref="B147"/>
    <hyperlink r:id="rId136" ref="B148"/>
    <hyperlink r:id="rId137" ref="B149"/>
    <hyperlink r:id="rId138" ref="B150"/>
    <hyperlink r:id="rId139" ref="B151"/>
    <hyperlink r:id="rId140" ref="B154"/>
    <hyperlink r:id="rId141" ref="B155"/>
    <hyperlink r:id="rId142" ref="B156"/>
    <hyperlink r:id="rId143" ref="B157"/>
    <hyperlink r:id="rId144" ref="B159"/>
    <hyperlink r:id="rId145" ref="B160"/>
    <hyperlink r:id="rId146" ref="B161"/>
    <hyperlink r:id="rId147" ref="B162"/>
    <hyperlink r:id="rId148" ref="B163"/>
    <hyperlink r:id="rId149" ref="B164"/>
    <hyperlink r:id="rId150" ref="B165"/>
    <hyperlink r:id="rId151" ref="B166"/>
    <hyperlink r:id="rId152" ref="B167"/>
    <hyperlink r:id="rId153" ref="B168"/>
    <hyperlink r:id="rId154" ref="B169"/>
    <hyperlink r:id="rId155" ref="B171"/>
    <hyperlink r:id="rId156" ref="B172"/>
    <hyperlink r:id="rId157" ref="B173"/>
    <hyperlink r:id="rId158" ref="B174"/>
    <hyperlink r:id="rId159" ref="B175"/>
    <hyperlink r:id="rId160" ref="B176"/>
    <hyperlink r:id="rId161" ref="B177"/>
    <hyperlink r:id="rId162" ref="B178"/>
    <hyperlink r:id="rId163" ref="B179"/>
    <hyperlink r:id="rId164" ref="B180"/>
    <hyperlink r:id="rId165" ref="B181"/>
    <hyperlink r:id="rId166" ref="B182"/>
    <hyperlink r:id="rId167" ref="B183"/>
    <hyperlink r:id="rId168" ref="B184"/>
    <hyperlink r:id="rId169" ref="B185"/>
    <hyperlink r:id="rId170" ref="B186"/>
    <hyperlink r:id="rId171" ref="B187"/>
    <hyperlink r:id="rId172" ref="B188"/>
    <hyperlink r:id="rId173" ref="B189"/>
    <hyperlink r:id="rId174" ref="B190"/>
    <hyperlink r:id="rId175" ref="B191"/>
    <hyperlink r:id="rId176" ref="B192"/>
    <hyperlink r:id="rId177" ref="B193"/>
    <hyperlink r:id="rId178" ref="B194"/>
    <hyperlink r:id="rId179" ref="B195"/>
    <hyperlink r:id="rId180" ref="B196"/>
    <hyperlink r:id="rId181" ref="B198"/>
    <hyperlink r:id="rId182" ref="B199"/>
    <hyperlink r:id="rId183" ref="B200"/>
    <hyperlink r:id="rId184" ref="B201"/>
  </hyperlinks>
  <printOptions/>
  <pageMargins bottom="0.0" footer="0.0" header="0.0" left="0.0" right="0.0" top="0.0"/>
  <pageSetup orientation="landscape"/>
  <drawing r:id="rId18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1.0"/>
    <col customWidth="1" min="3" max="3" width="7.63"/>
    <col customWidth="1" min="4" max="5" width="16.38"/>
    <col customWidth="1" min="6" max="6" width="18.75"/>
    <col customWidth="1" min="7" max="26" width="7.63"/>
  </cols>
  <sheetData>
    <row r="1" ht="12.75" customHeight="1">
      <c r="A1" s="1" t="s">
        <v>2</v>
      </c>
      <c r="B1" s="1" t="s">
        <v>4</v>
      </c>
    </row>
    <row r="2" ht="12.75" customHeight="1">
      <c r="A2" s="5" t="s">
        <v>10</v>
      </c>
      <c r="B2" s="7">
        <v>7.0</v>
      </c>
    </row>
    <row r="3" ht="12.75" customHeight="1">
      <c r="A3" s="5" t="s">
        <v>13</v>
      </c>
      <c r="B3" s="7">
        <v>2.0</v>
      </c>
      <c r="F3" s="19" t="s">
        <v>248</v>
      </c>
    </row>
    <row r="4" ht="12.75" customHeight="1">
      <c r="A4" s="5" t="s">
        <v>10</v>
      </c>
      <c r="B4" s="7">
        <v>6.0</v>
      </c>
      <c r="F4" s="22" t="str">
        <f t="shared" ref="F4:F20" si="1">IF(E4&gt;67, "SI", "NO")</f>
        <v>SI</v>
      </c>
    </row>
    <row r="5" ht="12.75" customHeight="1">
      <c r="A5" s="5" t="s">
        <v>18</v>
      </c>
      <c r="B5" s="7">
        <v>1.0</v>
      </c>
      <c r="F5" s="22" t="str">
        <f t="shared" si="1"/>
        <v>SI</v>
      </c>
    </row>
    <row r="6" ht="12.75" customHeight="1">
      <c r="A6" s="5" t="s">
        <v>10</v>
      </c>
      <c r="B6" s="7">
        <v>9.0</v>
      </c>
      <c r="F6" s="22" t="str">
        <f t="shared" si="1"/>
        <v>NO</v>
      </c>
    </row>
    <row r="7" ht="12.75" customHeight="1">
      <c r="A7" s="5" t="s">
        <v>22</v>
      </c>
      <c r="B7" s="7">
        <v>1.0</v>
      </c>
      <c r="F7" s="22" t="str">
        <f t="shared" si="1"/>
        <v>SI</v>
      </c>
    </row>
    <row r="8" ht="12.75" customHeight="1">
      <c r="A8" s="5" t="s">
        <v>25</v>
      </c>
      <c r="B8" s="7">
        <v>3.0</v>
      </c>
      <c r="F8" s="22" t="str">
        <f t="shared" si="1"/>
        <v>SI</v>
      </c>
    </row>
    <row r="9" ht="12.75" customHeight="1">
      <c r="A9" s="5" t="s">
        <v>28</v>
      </c>
      <c r="B9" s="7">
        <v>4.0</v>
      </c>
      <c r="F9" s="22" t="str">
        <f t="shared" si="1"/>
        <v>SI</v>
      </c>
    </row>
    <row r="10" ht="12.75" customHeight="1">
      <c r="A10" s="5" t="s">
        <v>31</v>
      </c>
      <c r="B10" s="7">
        <v>10.0</v>
      </c>
      <c r="F10" s="22" t="str">
        <f t="shared" si="1"/>
        <v>NO</v>
      </c>
    </row>
    <row r="11" ht="12.75" customHeight="1">
      <c r="A11" s="5" t="s">
        <v>22</v>
      </c>
      <c r="B11" s="7">
        <v>6.0</v>
      </c>
      <c r="F11" s="22" t="str">
        <f t="shared" si="1"/>
        <v>SI</v>
      </c>
    </row>
    <row r="12" ht="12.75" customHeight="1">
      <c r="A12" s="5" t="s">
        <v>35</v>
      </c>
      <c r="B12" s="7">
        <v>5.0</v>
      </c>
      <c r="F12" s="22" t="str">
        <f t="shared" si="1"/>
        <v>NO</v>
      </c>
    </row>
    <row r="13" ht="12.75" customHeight="1">
      <c r="A13" s="5" t="s">
        <v>10</v>
      </c>
      <c r="B13" s="7">
        <v>10.0</v>
      </c>
      <c r="F13" s="22" t="str">
        <f t="shared" si="1"/>
        <v>NO</v>
      </c>
    </row>
    <row r="14" ht="12.75" customHeight="1">
      <c r="A14" s="5" t="s">
        <v>10</v>
      </c>
      <c r="B14" s="7">
        <v>8.0</v>
      </c>
      <c r="F14" s="22" t="str">
        <f t="shared" si="1"/>
        <v>NO</v>
      </c>
    </row>
    <row r="15" ht="12.75" customHeight="1">
      <c r="A15" s="5" t="s">
        <v>40</v>
      </c>
      <c r="B15" s="7">
        <v>6.0</v>
      </c>
      <c r="F15" s="22" t="str">
        <f t="shared" si="1"/>
        <v>NO</v>
      </c>
    </row>
    <row r="16" ht="12.75" customHeight="1">
      <c r="A16" s="5" t="s">
        <v>28</v>
      </c>
      <c r="B16" s="7">
        <v>6.0</v>
      </c>
      <c r="F16" s="22" t="str">
        <f t="shared" si="1"/>
        <v>NO</v>
      </c>
    </row>
    <row r="17" ht="12.75" customHeight="1">
      <c r="A17" s="5" t="s">
        <v>44</v>
      </c>
      <c r="B17" s="7">
        <v>8.0</v>
      </c>
      <c r="F17" s="22" t="str">
        <f t="shared" si="1"/>
        <v>NO</v>
      </c>
    </row>
    <row r="18" ht="12.75" customHeight="1">
      <c r="A18" s="5" t="s">
        <v>47</v>
      </c>
      <c r="B18" s="7">
        <v>5.0</v>
      </c>
      <c r="F18" s="22" t="str">
        <f t="shared" si="1"/>
        <v>NO</v>
      </c>
    </row>
    <row r="19" ht="12.75" customHeight="1">
      <c r="A19" s="5" t="s">
        <v>50</v>
      </c>
      <c r="B19" s="7">
        <v>4.0</v>
      </c>
      <c r="F19" s="22" t="str">
        <f t="shared" si="1"/>
        <v>NO</v>
      </c>
    </row>
    <row r="20" ht="12.75" customHeight="1">
      <c r="A20" s="5" t="s">
        <v>10</v>
      </c>
      <c r="B20" s="7">
        <v>1.0</v>
      </c>
      <c r="F20" s="22" t="str">
        <f t="shared" si="1"/>
        <v>SI</v>
      </c>
    </row>
    <row r="21" ht="12.75" customHeight="1">
      <c r="A21" s="5" t="s">
        <v>44</v>
      </c>
      <c r="B21" s="7">
        <v>1.0</v>
      </c>
      <c r="F21" s="24"/>
    </row>
    <row r="22" ht="12.75" customHeight="1">
      <c r="A22" s="5" t="s">
        <v>55</v>
      </c>
      <c r="B22" s="7">
        <v>1.0</v>
      </c>
    </row>
    <row r="23" ht="12.75" customHeight="1">
      <c r="A23" s="5" t="s">
        <v>10</v>
      </c>
      <c r="B23" s="7">
        <v>9.0</v>
      </c>
    </row>
    <row r="24" ht="12.75" customHeight="1">
      <c r="A24" s="5" t="s">
        <v>59</v>
      </c>
      <c r="B24" s="7">
        <v>2.0</v>
      </c>
    </row>
    <row r="25" ht="12.75" customHeight="1">
      <c r="A25" s="5" t="s">
        <v>62</v>
      </c>
      <c r="B25" s="7">
        <v>3.0</v>
      </c>
    </row>
    <row r="26" ht="12.75" customHeight="1">
      <c r="A26" s="5" t="s">
        <v>31</v>
      </c>
      <c r="B26" s="7">
        <v>2.0</v>
      </c>
    </row>
    <row r="27" ht="12.75" customHeight="1">
      <c r="A27" s="5" t="s">
        <v>59</v>
      </c>
      <c r="B27" s="7">
        <v>8.0</v>
      </c>
    </row>
    <row r="28" ht="12.75" customHeight="1">
      <c r="A28" s="5" t="s">
        <v>25</v>
      </c>
      <c r="B28" s="7">
        <v>7.0</v>
      </c>
    </row>
    <row r="29" ht="12.75" customHeight="1">
      <c r="A29" s="5" t="s">
        <v>10</v>
      </c>
      <c r="B29" s="7">
        <v>1.0</v>
      </c>
    </row>
    <row r="30" ht="12.75" customHeight="1">
      <c r="A30" s="5" t="s">
        <v>10</v>
      </c>
      <c r="B30" s="7">
        <v>3.0</v>
      </c>
    </row>
    <row r="31" ht="12.75" customHeight="1">
      <c r="A31" s="5" t="s">
        <v>35</v>
      </c>
      <c r="B31" s="7">
        <v>1.0</v>
      </c>
    </row>
    <row r="32" ht="12.75" customHeight="1">
      <c r="A32" s="5" t="s">
        <v>55</v>
      </c>
      <c r="B32" s="7">
        <v>7.0</v>
      </c>
    </row>
    <row r="33" ht="12.75" customHeight="1">
      <c r="A33" s="5" t="s">
        <v>50</v>
      </c>
      <c r="B33" s="7">
        <v>9.0</v>
      </c>
    </row>
    <row r="34" ht="12.75" customHeight="1">
      <c r="A34" s="5" t="s">
        <v>74</v>
      </c>
      <c r="B34" s="7">
        <v>9.0</v>
      </c>
    </row>
    <row r="35" ht="12.75" customHeight="1">
      <c r="A35" s="5" t="s">
        <v>35</v>
      </c>
      <c r="B35" s="7">
        <v>5.0</v>
      </c>
    </row>
    <row r="36" ht="12.75" customHeight="1">
      <c r="A36" s="5" t="s">
        <v>18</v>
      </c>
      <c r="B36" s="7">
        <v>8.0</v>
      </c>
    </row>
    <row r="37" ht="12.75" customHeight="1">
      <c r="A37" s="5" t="s">
        <v>22</v>
      </c>
      <c r="B37" s="7">
        <v>3.0</v>
      </c>
    </row>
    <row r="38" ht="12.75" customHeight="1">
      <c r="A38" s="5" t="s">
        <v>74</v>
      </c>
      <c r="B38" s="7">
        <v>4.0</v>
      </c>
    </row>
    <row r="39" ht="12.75" customHeight="1">
      <c r="A39" s="5" t="s">
        <v>35</v>
      </c>
      <c r="B39" s="7">
        <v>3.0</v>
      </c>
    </row>
    <row r="40" ht="12.75" customHeight="1">
      <c r="A40" s="5" t="s">
        <v>62</v>
      </c>
      <c r="B40" s="7">
        <v>10.0</v>
      </c>
    </row>
    <row r="41" ht="12.75" customHeight="1">
      <c r="A41" s="5" t="s">
        <v>13</v>
      </c>
      <c r="B41" s="7">
        <v>4.0</v>
      </c>
    </row>
    <row r="42" ht="12.75" customHeight="1">
      <c r="A42" s="5" t="s">
        <v>62</v>
      </c>
      <c r="B42" s="7">
        <v>10.0</v>
      </c>
    </row>
    <row r="43" ht="12.75" customHeight="1">
      <c r="A43" s="5" t="s">
        <v>13</v>
      </c>
      <c r="B43" s="7">
        <v>10.0</v>
      </c>
    </row>
    <row r="44" ht="12.75" customHeight="1">
      <c r="A44" s="5" t="s">
        <v>44</v>
      </c>
      <c r="B44" s="7">
        <v>6.0</v>
      </c>
    </row>
    <row r="45" ht="12.75" customHeight="1">
      <c r="A45" s="5" t="s">
        <v>10</v>
      </c>
      <c r="B45" s="7">
        <v>1.0</v>
      </c>
    </row>
    <row r="46" ht="12.75" customHeight="1">
      <c r="A46" s="5" t="s">
        <v>50</v>
      </c>
      <c r="B46" s="7">
        <v>9.0</v>
      </c>
    </row>
    <row r="47" ht="12.75" customHeight="1">
      <c r="A47" s="5" t="s">
        <v>35</v>
      </c>
      <c r="B47" s="7">
        <v>6.0</v>
      </c>
    </row>
    <row r="48" ht="12.75" customHeight="1">
      <c r="A48" s="5" t="s">
        <v>47</v>
      </c>
      <c r="B48" s="7">
        <v>7.0</v>
      </c>
    </row>
    <row r="49" ht="12.75" customHeight="1">
      <c r="A49" s="5" t="s">
        <v>31</v>
      </c>
      <c r="B49" s="7">
        <v>10.0</v>
      </c>
    </row>
    <row r="50" ht="12.75" customHeight="1">
      <c r="A50" s="5" t="s">
        <v>25</v>
      </c>
      <c r="B50" s="7">
        <v>3.0</v>
      </c>
    </row>
    <row r="51" ht="12.75" customHeight="1">
      <c r="A51" s="5" t="s">
        <v>55</v>
      </c>
      <c r="B51" s="7">
        <v>9.0</v>
      </c>
    </row>
    <row r="52" ht="12.75" customHeight="1">
      <c r="A52" s="5" t="s">
        <v>62</v>
      </c>
      <c r="B52" s="7">
        <v>4.0</v>
      </c>
    </row>
    <row r="53" ht="12.75" customHeight="1">
      <c r="A53" s="5" t="s">
        <v>18</v>
      </c>
      <c r="B53" s="7">
        <v>1.0</v>
      </c>
    </row>
    <row r="54" ht="12.75" customHeight="1">
      <c r="A54" s="5" t="s">
        <v>18</v>
      </c>
      <c r="B54" s="7">
        <v>9.0</v>
      </c>
    </row>
    <row r="55" ht="12.75" customHeight="1">
      <c r="A55" s="5" t="s">
        <v>55</v>
      </c>
      <c r="B55" s="7">
        <v>2.0</v>
      </c>
    </row>
    <row r="56" ht="12.75" customHeight="1">
      <c r="A56" s="5" t="s">
        <v>25</v>
      </c>
      <c r="B56" s="7">
        <v>7.0</v>
      </c>
    </row>
    <row r="57" ht="12.75" customHeight="1">
      <c r="A57" s="5" t="s">
        <v>28</v>
      </c>
      <c r="B57" s="7">
        <v>4.0</v>
      </c>
    </row>
    <row r="58" ht="12.75" customHeight="1">
      <c r="A58" s="5" t="s">
        <v>44</v>
      </c>
      <c r="B58" s="7">
        <v>2.0</v>
      </c>
    </row>
    <row r="59" ht="12.75" customHeight="1">
      <c r="A59" s="5" t="s">
        <v>50</v>
      </c>
      <c r="B59" s="7">
        <v>4.0</v>
      </c>
    </row>
    <row r="60" ht="12.75" customHeight="1">
      <c r="A60" s="5" t="s">
        <v>35</v>
      </c>
      <c r="B60" s="7">
        <v>6.0</v>
      </c>
    </row>
    <row r="61" ht="12.75" customHeight="1">
      <c r="A61" s="5" t="s">
        <v>104</v>
      </c>
      <c r="B61" s="7">
        <v>6.0</v>
      </c>
    </row>
    <row r="62" ht="12.75" customHeight="1">
      <c r="A62" s="5" t="s">
        <v>40</v>
      </c>
      <c r="B62" s="7">
        <v>7.0</v>
      </c>
    </row>
    <row r="63" ht="12.75" customHeight="1">
      <c r="A63" s="5" t="s">
        <v>13</v>
      </c>
      <c r="B63" s="7">
        <v>8.0</v>
      </c>
    </row>
    <row r="64" ht="12.75" customHeight="1">
      <c r="A64" s="5" t="s">
        <v>59</v>
      </c>
      <c r="B64" s="7">
        <v>9.0</v>
      </c>
    </row>
    <row r="65" ht="12.75" customHeight="1">
      <c r="A65" s="5" t="s">
        <v>35</v>
      </c>
      <c r="B65" s="7">
        <v>5.0</v>
      </c>
    </row>
    <row r="66" ht="12.75" customHeight="1">
      <c r="A66" s="5" t="s">
        <v>28</v>
      </c>
      <c r="B66" s="7">
        <v>1.0</v>
      </c>
    </row>
    <row r="67" ht="12.75" customHeight="1">
      <c r="A67" s="5" t="s">
        <v>50</v>
      </c>
      <c r="B67" s="7">
        <v>2.0</v>
      </c>
    </row>
    <row r="68" ht="12.75" customHeight="1">
      <c r="A68" s="5" t="s">
        <v>59</v>
      </c>
      <c r="B68" s="7">
        <v>1.0</v>
      </c>
    </row>
    <row r="69" ht="12.75" customHeight="1">
      <c r="A69" s="5" t="s">
        <v>62</v>
      </c>
      <c r="B69" s="7">
        <v>4.0</v>
      </c>
    </row>
    <row r="70" ht="12.75" customHeight="1">
      <c r="A70" s="5" t="s">
        <v>10</v>
      </c>
      <c r="B70" s="7">
        <v>4.0</v>
      </c>
    </row>
    <row r="71" ht="12.75" customHeight="1">
      <c r="A71" s="5" t="s">
        <v>104</v>
      </c>
      <c r="B71" s="7">
        <v>5.0</v>
      </c>
    </row>
    <row r="72" ht="12.75" customHeight="1">
      <c r="A72" s="5" t="s">
        <v>62</v>
      </c>
      <c r="B72" s="7">
        <v>1.0</v>
      </c>
    </row>
    <row r="73" ht="12.75" customHeight="1">
      <c r="A73" s="5" t="s">
        <v>47</v>
      </c>
      <c r="B73" s="7">
        <v>7.0</v>
      </c>
    </row>
    <row r="74" ht="12.75" customHeight="1">
      <c r="A74" s="5" t="s">
        <v>22</v>
      </c>
      <c r="B74" s="7">
        <v>4.0</v>
      </c>
    </row>
    <row r="75" ht="12.75" customHeight="1">
      <c r="A75" s="5" t="s">
        <v>18</v>
      </c>
      <c r="B75" s="7">
        <v>6.0</v>
      </c>
    </row>
    <row r="76" ht="12.75" customHeight="1">
      <c r="A76" s="5" t="s">
        <v>59</v>
      </c>
      <c r="B76" s="7">
        <v>1.0</v>
      </c>
    </row>
    <row r="77" ht="12.75" customHeight="1">
      <c r="A77" s="5" t="s">
        <v>10</v>
      </c>
      <c r="B77" s="7">
        <v>3.0</v>
      </c>
    </row>
    <row r="78" ht="12.75" customHeight="1">
      <c r="A78" s="5" t="s">
        <v>35</v>
      </c>
      <c r="B78" s="7">
        <v>5.0</v>
      </c>
    </row>
    <row r="79" ht="12.75" customHeight="1">
      <c r="A79" s="5" t="s">
        <v>59</v>
      </c>
      <c r="B79" s="7">
        <v>3.0</v>
      </c>
    </row>
    <row r="80" ht="12.75" customHeight="1">
      <c r="A80" s="5" t="s">
        <v>74</v>
      </c>
      <c r="B80" s="7">
        <v>5.0</v>
      </c>
    </row>
    <row r="81" ht="12.75" customHeight="1">
      <c r="A81" s="5" t="s">
        <v>10</v>
      </c>
      <c r="B81" s="7">
        <v>6.0</v>
      </c>
    </row>
    <row r="82" ht="12.75" customHeight="1">
      <c r="A82" s="5" t="s">
        <v>104</v>
      </c>
      <c r="B82" s="7">
        <v>10.0</v>
      </c>
    </row>
    <row r="83" ht="12.75" customHeight="1">
      <c r="A83" s="5" t="s">
        <v>44</v>
      </c>
      <c r="B83" s="7">
        <v>8.0</v>
      </c>
    </row>
    <row r="84" ht="12.75" customHeight="1">
      <c r="A84" s="5" t="s">
        <v>50</v>
      </c>
      <c r="B84" s="7">
        <v>1.0</v>
      </c>
    </row>
    <row r="85" ht="12.75" customHeight="1">
      <c r="A85" s="5" t="s">
        <v>22</v>
      </c>
      <c r="B85" s="7">
        <v>6.0</v>
      </c>
    </row>
    <row r="86" ht="12.75" customHeight="1">
      <c r="A86" s="5" t="s">
        <v>62</v>
      </c>
      <c r="B86" s="7">
        <v>1.0</v>
      </c>
    </row>
    <row r="87" ht="12.75" customHeight="1">
      <c r="A87" s="5" t="s">
        <v>22</v>
      </c>
      <c r="B87" s="7">
        <v>6.0</v>
      </c>
    </row>
    <row r="88" ht="12.75" customHeight="1">
      <c r="A88" s="5" t="s">
        <v>104</v>
      </c>
      <c r="B88" s="7">
        <v>7.0</v>
      </c>
    </row>
    <row r="89" ht="12.75" customHeight="1">
      <c r="A89" s="5" t="s">
        <v>35</v>
      </c>
      <c r="B89" s="7">
        <v>6.0</v>
      </c>
    </row>
    <row r="90" ht="12.75" customHeight="1">
      <c r="A90" s="5" t="s">
        <v>10</v>
      </c>
      <c r="B90" s="7">
        <v>7.0</v>
      </c>
    </row>
    <row r="91" ht="12.75" customHeight="1">
      <c r="A91" s="5" t="s">
        <v>22</v>
      </c>
      <c r="B91" s="7">
        <v>10.0</v>
      </c>
    </row>
    <row r="92" ht="12.75" customHeight="1">
      <c r="A92" s="5" t="s">
        <v>10</v>
      </c>
      <c r="B92" s="7">
        <v>2.0</v>
      </c>
    </row>
    <row r="93" ht="12.75" customHeight="1">
      <c r="A93" s="5" t="s">
        <v>59</v>
      </c>
      <c r="B93" s="7">
        <v>4.0</v>
      </c>
    </row>
    <row r="94" ht="12.75" customHeight="1">
      <c r="A94" s="5" t="s">
        <v>62</v>
      </c>
      <c r="B94" s="7">
        <v>2.0</v>
      </c>
    </row>
    <row r="95" ht="12.75" customHeight="1">
      <c r="A95" s="5" t="s">
        <v>104</v>
      </c>
      <c r="B95" s="7">
        <v>5.0</v>
      </c>
    </row>
    <row r="96" ht="12.75" customHeight="1">
      <c r="A96" s="5" t="s">
        <v>22</v>
      </c>
      <c r="B96" s="7">
        <v>2.0</v>
      </c>
    </row>
    <row r="97" ht="12.75" customHeight="1">
      <c r="A97" s="5" t="s">
        <v>22</v>
      </c>
      <c r="B97" s="7">
        <v>5.0</v>
      </c>
    </row>
    <row r="98" ht="12.75" customHeight="1">
      <c r="A98" s="5" t="s">
        <v>104</v>
      </c>
      <c r="B98" s="7">
        <v>7.0</v>
      </c>
    </row>
    <row r="99" ht="12.75" customHeight="1">
      <c r="A99" s="5" t="s">
        <v>22</v>
      </c>
      <c r="B99" s="7">
        <v>4.0</v>
      </c>
    </row>
    <row r="100" ht="12.75" customHeight="1">
      <c r="A100" s="5" t="s">
        <v>10</v>
      </c>
      <c r="B100" s="7">
        <v>5.0</v>
      </c>
    </row>
    <row r="101" ht="12.75" customHeight="1">
      <c r="A101" s="5" t="s">
        <v>31</v>
      </c>
      <c r="B101" s="7">
        <v>6.0</v>
      </c>
    </row>
    <row r="102" ht="12.75" customHeight="1">
      <c r="A102" s="5" t="s">
        <v>104</v>
      </c>
      <c r="B102" s="7">
        <v>3.0</v>
      </c>
    </row>
    <row r="103" ht="12.75" customHeight="1">
      <c r="A103" s="5" t="s">
        <v>74</v>
      </c>
      <c r="B103" s="7">
        <v>10.0</v>
      </c>
    </row>
    <row r="104" ht="12.75" customHeight="1">
      <c r="A104" s="5" t="s">
        <v>40</v>
      </c>
      <c r="B104" s="7">
        <v>5.0</v>
      </c>
    </row>
    <row r="105" ht="12.75" customHeight="1">
      <c r="A105" s="5" t="s">
        <v>104</v>
      </c>
      <c r="B105" s="7">
        <v>7.0</v>
      </c>
    </row>
    <row r="106" ht="12.75" customHeight="1">
      <c r="A106" s="5" t="s">
        <v>40</v>
      </c>
      <c r="B106" s="7">
        <v>1.0</v>
      </c>
    </row>
    <row r="107" ht="12.75" customHeight="1">
      <c r="A107" s="5" t="s">
        <v>62</v>
      </c>
      <c r="B107" s="7">
        <v>10.0</v>
      </c>
    </row>
    <row r="108" ht="12.75" customHeight="1">
      <c r="A108" s="5" t="s">
        <v>59</v>
      </c>
      <c r="B108" s="7">
        <v>7.0</v>
      </c>
    </row>
    <row r="109" ht="12.75" customHeight="1">
      <c r="A109" s="5" t="s">
        <v>47</v>
      </c>
      <c r="B109" s="7">
        <v>10.0</v>
      </c>
    </row>
    <row r="110" ht="12.75" customHeight="1">
      <c r="A110" s="5" t="s">
        <v>22</v>
      </c>
      <c r="B110" s="7">
        <v>1.0</v>
      </c>
    </row>
    <row r="111" ht="12.75" customHeight="1">
      <c r="A111" s="5" t="s">
        <v>59</v>
      </c>
      <c r="B111" s="7">
        <v>7.0</v>
      </c>
    </row>
    <row r="112" ht="12.75" customHeight="1">
      <c r="A112" s="5" t="s">
        <v>18</v>
      </c>
      <c r="B112" s="7">
        <v>8.0</v>
      </c>
    </row>
    <row r="113" ht="12.75" customHeight="1">
      <c r="A113" s="5" t="s">
        <v>59</v>
      </c>
      <c r="B113" s="7">
        <v>9.0</v>
      </c>
    </row>
    <row r="114" ht="12.75" customHeight="1">
      <c r="A114" s="5" t="s">
        <v>13</v>
      </c>
      <c r="B114" s="7">
        <v>2.0</v>
      </c>
    </row>
    <row r="115" ht="12.75" customHeight="1">
      <c r="A115" s="5" t="s">
        <v>44</v>
      </c>
      <c r="B115" s="7">
        <v>9.0</v>
      </c>
    </row>
    <row r="116" ht="12.75" customHeight="1">
      <c r="A116" s="5" t="s">
        <v>25</v>
      </c>
      <c r="B116" s="7">
        <v>1.0</v>
      </c>
    </row>
    <row r="117" ht="12.75" customHeight="1">
      <c r="A117" s="5" t="s">
        <v>62</v>
      </c>
      <c r="B117" s="7">
        <v>8.0</v>
      </c>
    </row>
    <row r="118" ht="12.75" customHeight="1">
      <c r="A118" s="5" t="s">
        <v>104</v>
      </c>
      <c r="B118" s="7">
        <v>1.0</v>
      </c>
    </row>
    <row r="119" ht="12.75" customHeight="1">
      <c r="A119" s="5" t="s">
        <v>55</v>
      </c>
      <c r="B119" s="7">
        <v>4.0</v>
      </c>
    </row>
    <row r="120" ht="12.75" customHeight="1">
      <c r="A120" s="5" t="s">
        <v>10</v>
      </c>
      <c r="B120" s="7">
        <v>6.0</v>
      </c>
    </row>
    <row r="121" ht="12.75" customHeight="1">
      <c r="A121" s="5" t="s">
        <v>10</v>
      </c>
      <c r="B121" s="7">
        <v>3.0</v>
      </c>
    </row>
    <row r="122" ht="12.75" customHeight="1">
      <c r="A122" s="5" t="s">
        <v>47</v>
      </c>
      <c r="B122" s="7">
        <v>9.0</v>
      </c>
    </row>
    <row r="123" ht="12.75" customHeight="1">
      <c r="A123" s="5" t="s">
        <v>18</v>
      </c>
      <c r="B123" s="7">
        <v>10.0</v>
      </c>
    </row>
    <row r="124" ht="12.75" customHeight="1">
      <c r="A124" s="5" t="s">
        <v>35</v>
      </c>
      <c r="B124" s="7">
        <v>9.0</v>
      </c>
    </row>
    <row r="125" ht="12.75" customHeight="1">
      <c r="A125" s="5" t="s">
        <v>28</v>
      </c>
      <c r="B125" s="7">
        <v>1.0</v>
      </c>
    </row>
    <row r="126" ht="12.75" customHeight="1">
      <c r="A126" s="5" t="s">
        <v>13</v>
      </c>
      <c r="B126" s="7">
        <v>6.0</v>
      </c>
    </row>
    <row r="127" ht="12.75" customHeight="1">
      <c r="A127" s="5" t="s">
        <v>104</v>
      </c>
      <c r="B127" s="7">
        <v>8.0</v>
      </c>
    </row>
    <row r="128" ht="12.75" customHeight="1">
      <c r="A128" s="5" t="s">
        <v>59</v>
      </c>
      <c r="B128" s="7">
        <v>2.0</v>
      </c>
    </row>
    <row r="129" ht="12.75" customHeight="1">
      <c r="A129" s="5" t="s">
        <v>47</v>
      </c>
      <c r="B129" s="7">
        <v>5.0</v>
      </c>
    </row>
    <row r="130" ht="12.75" customHeight="1">
      <c r="A130" s="5" t="s">
        <v>104</v>
      </c>
      <c r="B130" s="7">
        <v>2.0</v>
      </c>
    </row>
    <row r="131" ht="12.75" customHeight="1">
      <c r="A131" s="5" t="s">
        <v>10</v>
      </c>
      <c r="B131" s="7">
        <v>10.0</v>
      </c>
    </row>
    <row r="132" ht="12.75" customHeight="1">
      <c r="A132" s="5" t="s">
        <v>74</v>
      </c>
      <c r="B132" s="7">
        <v>10.0</v>
      </c>
    </row>
    <row r="133" ht="12.75" customHeight="1">
      <c r="A133" s="5" t="s">
        <v>62</v>
      </c>
      <c r="B133" s="7">
        <v>6.0</v>
      </c>
    </row>
    <row r="134" ht="12.75" customHeight="1">
      <c r="A134" s="5" t="s">
        <v>31</v>
      </c>
      <c r="B134" s="7">
        <v>2.0</v>
      </c>
    </row>
    <row r="135" ht="12.75" customHeight="1">
      <c r="A135" s="5" t="s">
        <v>35</v>
      </c>
      <c r="B135" s="7">
        <v>2.0</v>
      </c>
    </row>
    <row r="136" ht="12.75" customHeight="1">
      <c r="A136" s="5" t="s">
        <v>62</v>
      </c>
      <c r="B136" s="7">
        <v>7.0</v>
      </c>
    </row>
    <row r="137" ht="12.75" customHeight="1">
      <c r="A137" s="5" t="s">
        <v>22</v>
      </c>
      <c r="B137" s="7">
        <v>9.0</v>
      </c>
    </row>
    <row r="138" ht="12.75" customHeight="1">
      <c r="A138" s="5" t="s">
        <v>35</v>
      </c>
      <c r="B138" s="7">
        <v>3.0</v>
      </c>
    </row>
    <row r="139" ht="12.75" customHeight="1">
      <c r="A139" s="5" t="s">
        <v>55</v>
      </c>
      <c r="B139" s="7">
        <v>6.0</v>
      </c>
    </row>
    <row r="140" ht="12.75" customHeight="1">
      <c r="A140" s="5" t="s">
        <v>74</v>
      </c>
      <c r="B140" s="7">
        <v>3.0</v>
      </c>
    </row>
    <row r="141" ht="12.75" customHeight="1">
      <c r="A141" s="5" t="s">
        <v>31</v>
      </c>
      <c r="B141" s="7">
        <v>5.0</v>
      </c>
    </row>
    <row r="142" ht="12.75" customHeight="1">
      <c r="A142" s="5" t="s">
        <v>22</v>
      </c>
      <c r="B142" s="7">
        <v>4.0</v>
      </c>
    </row>
    <row r="143" ht="12.75" customHeight="1">
      <c r="A143" s="5" t="s">
        <v>31</v>
      </c>
      <c r="B143" s="7">
        <v>5.0</v>
      </c>
    </row>
    <row r="144" ht="12.75" customHeight="1">
      <c r="A144" s="5" t="s">
        <v>50</v>
      </c>
      <c r="B144" s="7">
        <v>3.0</v>
      </c>
    </row>
    <row r="145" ht="12.75" customHeight="1">
      <c r="A145" s="5" t="s">
        <v>22</v>
      </c>
      <c r="B145" s="7">
        <v>1.0</v>
      </c>
    </row>
    <row r="146" ht="12.75" customHeight="1">
      <c r="A146" s="5" t="s">
        <v>50</v>
      </c>
      <c r="B146" s="7">
        <v>4.0</v>
      </c>
    </row>
    <row r="147" ht="12.75" customHeight="1">
      <c r="A147" s="5" t="s">
        <v>28</v>
      </c>
      <c r="B147" s="7">
        <v>10.0</v>
      </c>
    </row>
    <row r="148" ht="12.75" customHeight="1">
      <c r="A148" s="5" t="s">
        <v>55</v>
      </c>
      <c r="B148" s="7">
        <v>7.0</v>
      </c>
    </row>
    <row r="149" ht="12.75" customHeight="1">
      <c r="A149" s="5" t="s">
        <v>25</v>
      </c>
      <c r="B149" s="7">
        <v>1.0</v>
      </c>
    </row>
    <row r="150" ht="12.75" customHeight="1">
      <c r="A150" s="5" t="s">
        <v>59</v>
      </c>
      <c r="B150" s="7">
        <v>7.0</v>
      </c>
    </row>
    <row r="151" ht="12.75" customHeight="1">
      <c r="A151" s="5" t="s">
        <v>13</v>
      </c>
      <c r="B151" s="7">
        <v>3.0</v>
      </c>
    </row>
    <row r="152" ht="12.75" customHeight="1">
      <c r="A152" s="5" t="s">
        <v>104</v>
      </c>
      <c r="B152" s="7">
        <v>5.0</v>
      </c>
    </row>
    <row r="153" ht="12.75" customHeight="1">
      <c r="A153" s="5" t="s">
        <v>104</v>
      </c>
      <c r="B153" s="7">
        <v>1.0</v>
      </c>
    </row>
    <row r="154" ht="12.75" customHeight="1">
      <c r="A154" s="5" t="s">
        <v>35</v>
      </c>
      <c r="B154" s="7">
        <v>6.0</v>
      </c>
    </row>
    <row r="155" ht="12.75" customHeight="1">
      <c r="A155" s="5" t="s">
        <v>50</v>
      </c>
      <c r="B155" s="7">
        <v>8.0</v>
      </c>
    </row>
    <row r="156" ht="12.75" customHeight="1">
      <c r="A156" s="5" t="s">
        <v>50</v>
      </c>
      <c r="B156" s="7">
        <v>4.0</v>
      </c>
    </row>
    <row r="157" ht="12.75" customHeight="1">
      <c r="A157" s="5" t="s">
        <v>35</v>
      </c>
      <c r="B157" s="7">
        <v>9.0</v>
      </c>
    </row>
    <row r="158" ht="12.75" customHeight="1">
      <c r="A158" s="5" t="s">
        <v>104</v>
      </c>
      <c r="B158" s="7">
        <v>2.0</v>
      </c>
    </row>
    <row r="159" ht="12.75" customHeight="1">
      <c r="A159" s="5" t="s">
        <v>10</v>
      </c>
      <c r="B159" s="7">
        <v>2.0</v>
      </c>
    </row>
    <row r="160" ht="12.75" customHeight="1">
      <c r="A160" s="5" t="s">
        <v>10</v>
      </c>
      <c r="B160" s="7">
        <v>2.0</v>
      </c>
    </row>
    <row r="161" ht="12.75" customHeight="1">
      <c r="A161" s="5" t="s">
        <v>40</v>
      </c>
      <c r="B161" s="7">
        <v>2.0</v>
      </c>
    </row>
    <row r="162" ht="12.75" customHeight="1">
      <c r="A162" s="5" t="s">
        <v>62</v>
      </c>
      <c r="B162" s="7">
        <v>8.0</v>
      </c>
    </row>
    <row r="163" ht="12.75" customHeight="1">
      <c r="A163" s="5" t="s">
        <v>50</v>
      </c>
      <c r="B163" s="7">
        <v>5.0</v>
      </c>
    </row>
    <row r="164" ht="12.75" customHeight="1">
      <c r="A164" s="5" t="s">
        <v>31</v>
      </c>
      <c r="B164" s="7">
        <v>6.0</v>
      </c>
    </row>
    <row r="165" ht="12.75" customHeight="1">
      <c r="A165" s="5" t="s">
        <v>59</v>
      </c>
      <c r="B165" s="7">
        <v>7.0</v>
      </c>
    </row>
    <row r="166" ht="12.75" customHeight="1">
      <c r="A166" s="5" t="s">
        <v>10</v>
      </c>
      <c r="B166" s="7">
        <v>3.0</v>
      </c>
    </row>
    <row r="167" ht="12.75" customHeight="1">
      <c r="A167" s="5" t="s">
        <v>50</v>
      </c>
      <c r="B167" s="7">
        <v>4.0</v>
      </c>
    </row>
    <row r="168" ht="12.75" customHeight="1">
      <c r="A168" s="5" t="s">
        <v>22</v>
      </c>
      <c r="B168" s="7">
        <v>3.0</v>
      </c>
    </row>
    <row r="169" ht="12.75" customHeight="1">
      <c r="A169" s="5" t="s">
        <v>62</v>
      </c>
      <c r="B169" s="7">
        <v>3.0</v>
      </c>
    </row>
    <row r="170" ht="12.75" customHeight="1">
      <c r="A170" s="5" t="s">
        <v>104</v>
      </c>
      <c r="B170" s="7">
        <v>1.0</v>
      </c>
    </row>
    <row r="171" ht="12.75" customHeight="1">
      <c r="A171" s="5" t="s">
        <v>55</v>
      </c>
      <c r="B171" s="7">
        <v>2.0</v>
      </c>
    </row>
    <row r="172" ht="12.75" customHeight="1">
      <c r="A172" s="5" t="s">
        <v>25</v>
      </c>
      <c r="B172" s="7">
        <v>8.0</v>
      </c>
    </row>
    <row r="173" ht="12.75" customHeight="1">
      <c r="A173" s="5" t="s">
        <v>25</v>
      </c>
      <c r="B173" s="7">
        <v>6.0</v>
      </c>
    </row>
    <row r="174" ht="12.75" customHeight="1">
      <c r="A174" s="5" t="s">
        <v>50</v>
      </c>
      <c r="B174" s="7">
        <v>4.0</v>
      </c>
    </row>
    <row r="175" ht="12.75" customHeight="1">
      <c r="A175" s="5" t="s">
        <v>18</v>
      </c>
      <c r="B175" s="7">
        <v>6.0</v>
      </c>
    </row>
    <row r="176" ht="12.75" customHeight="1">
      <c r="A176" s="5" t="s">
        <v>44</v>
      </c>
      <c r="B176" s="7">
        <v>3.0</v>
      </c>
    </row>
    <row r="177" ht="12.75" customHeight="1">
      <c r="A177" s="5" t="s">
        <v>22</v>
      </c>
      <c r="B177" s="7">
        <v>5.0</v>
      </c>
    </row>
    <row r="178" ht="12.75" customHeight="1">
      <c r="A178" s="5" t="s">
        <v>50</v>
      </c>
      <c r="B178" s="7">
        <v>6.0</v>
      </c>
    </row>
    <row r="179" ht="12.75" customHeight="1">
      <c r="A179" s="5" t="s">
        <v>35</v>
      </c>
      <c r="B179" s="7">
        <v>7.0</v>
      </c>
    </row>
    <row r="180" ht="12.75" customHeight="1">
      <c r="A180" s="5" t="s">
        <v>62</v>
      </c>
      <c r="B180" s="7">
        <v>8.0</v>
      </c>
    </row>
    <row r="181" ht="12.75" customHeight="1">
      <c r="A181" s="5" t="s">
        <v>13</v>
      </c>
      <c r="B181" s="7">
        <v>5.0</v>
      </c>
    </row>
    <row r="182" ht="12.75" customHeight="1">
      <c r="A182" s="5" t="s">
        <v>62</v>
      </c>
      <c r="B182" s="7">
        <v>3.0</v>
      </c>
    </row>
    <row r="183" ht="12.75" customHeight="1">
      <c r="A183" s="5" t="s">
        <v>40</v>
      </c>
      <c r="B183" s="7">
        <v>5.0</v>
      </c>
    </row>
    <row r="184" ht="12.75" customHeight="1">
      <c r="A184" s="5" t="s">
        <v>40</v>
      </c>
      <c r="B184" s="7">
        <v>2.0</v>
      </c>
    </row>
    <row r="185" ht="12.75" customHeight="1">
      <c r="A185" s="5" t="s">
        <v>40</v>
      </c>
      <c r="B185" s="7">
        <v>7.0</v>
      </c>
    </row>
    <row r="186" ht="12.75" customHeight="1">
      <c r="A186" s="5" t="s">
        <v>74</v>
      </c>
      <c r="B186" s="7">
        <v>7.0</v>
      </c>
    </row>
    <row r="187" ht="12.75" customHeight="1">
      <c r="A187" s="5" t="s">
        <v>10</v>
      </c>
      <c r="B187" s="7">
        <v>1.0</v>
      </c>
    </row>
    <row r="188" ht="12.75" customHeight="1">
      <c r="A188" s="5" t="s">
        <v>28</v>
      </c>
      <c r="B188" s="7">
        <v>5.0</v>
      </c>
    </row>
    <row r="189" ht="12.75" customHeight="1">
      <c r="A189" s="5" t="s">
        <v>44</v>
      </c>
      <c r="B189" s="7">
        <v>6.0</v>
      </c>
    </row>
    <row r="190" ht="12.75" customHeight="1">
      <c r="A190" s="5" t="s">
        <v>35</v>
      </c>
      <c r="B190" s="7">
        <v>3.0</v>
      </c>
    </row>
    <row r="191" ht="12.75" customHeight="1">
      <c r="A191" s="5" t="s">
        <v>10</v>
      </c>
      <c r="B191" s="7">
        <v>2.0</v>
      </c>
    </row>
    <row r="192" ht="12.75" customHeight="1">
      <c r="A192" s="5" t="s">
        <v>47</v>
      </c>
      <c r="B192" s="7">
        <v>6.0</v>
      </c>
    </row>
    <row r="193" ht="12.75" customHeight="1">
      <c r="A193" s="5" t="s">
        <v>50</v>
      </c>
      <c r="B193" s="7">
        <v>6.0</v>
      </c>
    </row>
    <row r="194" ht="12.75" customHeight="1">
      <c r="A194" s="5" t="s">
        <v>50</v>
      </c>
      <c r="B194" s="7">
        <v>1.0</v>
      </c>
    </row>
    <row r="195" ht="12.75" customHeight="1">
      <c r="A195" s="5" t="s">
        <v>28</v>
      </c>
      <c r="B195" s="7">
        <v>3.0</v>
      </c>
    </row>
    <row r="196" ht="12.75" customHeight="1">
      <c r="A196" s="5" t="s">
        <v>59</v>
      </c>
      <c r="B196" s="7">
        <v>2.0</v>
      </c>
    </row>
    <row r="197" ht="12.75" customHeight="1">
      <c r="A197" s="5" t="s">
        <v>104</v>
      </c>
      <c r="B197" s="7">
        <v>10.0</v>
      </c>
    </row>
    <row r="198" ht="12.75" customHeight="1">
      <c r="A198" s="5" t="s">
        <v>47</v>
      </c>
      <c r="B198" s="7">
        <v>5.0</v>
      </c>
    </row>
    <row r="199" ht="12.75" customHeight="1">
      <c r="A199" s="5" t="s">
        <v>59</v>
      </c>
      <c r="B199" s="7">
        <v>6.0</v>
      </c>
    </row>
    <row r="200" ht="12.75" customHeight="1">
      <c r="A200" s="5" t="s">
        <v>74</v>
      </c>
      <c r="B200" s="7">
        <v>9.0</v>
      </c>
    </row>
    <row r="201" ht="12.75" customHeight="1">
      <c r="A201" s="5" t="s">
        <v>59</v>
      </c>
      <c r="B201" s="7">
        <v>8.0</v>
      </c>
    </row>
    <row r="202" ht="12.75" customHeight="1">
      <c r="A202" s="8"/>
      <c r="B202" s="8"/>
    </row>
    <row r="203" ht="12.75" customHeight="1">
      <c r="A203" s="8"/>
      <c r="B203" s="8"/>
    </row>
    <row r="204" ht="12.75" customHeight="1">
      <c r="A204" s="8"/>
      <c r="B204" s="8"/>
    </row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22.13"/>
    <col customWidth="1" min="3" max="3" width="7.63"/>
    <col customWidth="1" min="4" max="4" width="9.25"/>
    <col customWidth="1" min="5" max="5" width="48.0"/>
    <col customWidth="1" min="6" max="6" width="7.63"/>
    <col customWidth="1" min="7" max="7" width="16.25"/>
    <col customWidth="1" min="8" max="26" width="7.63"/>
  </cols>
  <sheetData>
    <row r="1" ht="12.75" customHeight="1">
      <c r="A1" s="1" t="s">
        <v>0</v>
      </c>
      <c r="B1" s="1" t="s">
        <v>250</v>
      </c>
      <c r="C1" s="1" t="s">
        <v>251</v>
      </c>
    </row>
    <row r="2" ht="12.75" customHeight="1">
      <c r="A2" s="3" t="s">
        <v>101</v>
      </c>
      <c r="B2" s="18">
        <f>'My trades'!G60-'My trades'!D60</f>
        <v>30</v>
      </c>
      <c r="C2" s="25">
        <f>('My trades'!H60-'My trades'!F60)*'My trades'!E60</f>
        <v>1.139151525</v>
      </c>
    </row>
    <row r="3" ht="12.75" customHeight="1">
      <c r="A3" s="9" t="s">
        <v>157</v>
      </c>
      <c r="B3" s="18">
        <f>'My trades'!G113-'My trades'!D113</f>
        <v>42</v>
      </c>
      <c r="C3" s="25">
        <f>('My trades'!H113-'My trades'!F113)*'My trades'!E113</f>
        <v>-6.419612047</v>
      </c>
    </row>
    <row r="4" ht="12.75" customHeight="1">
      <c r="A4" s="9" t="s">
        <v>63</v>
      </c>
      <c r="B4" s="18">
        <f>'My trades'!G26-'My trades'!D26</f>
        <v>51</v>
      </c>
      <c r="C4" s="25">
        <f>('My trades'!H26-'My trades'!F26)*'My trades'!E26</f>
        <v>-0.3252810686</v>
      </c>
    </row>
    <row r="5" ht="12.75" customHeight="1">
      <c r="A5" s="9" t="s">
        <v>145</v>
      </c>
      <c r="B5" s="18">
        <f>'My trades'!G101-'My trades'!D101</f>
        <v>57</v>
      </c>
      <c r="C5" s="25">
        <f>('My trades'!H101-'My trades'!F101)*'My trades'!E101</f>
        <v>1.102295822</v>
      </c>
    </row>
    <row r="6" ht="12.75" customHeight="1">
      <c r="A6" s="9" t="s">
        <v>167</v>
      </c>
      <c r="B6" s="18">
        <f>'My trades'!G123-'My trades'!D123</f>
        <v>58</v>
      </c>
      <c r="C6" s="25">
        <f>('My trades'!H123-'My trades'!F123)*'My trades'!E123</f>
        <v>-3.713781777</v>
      </c>
    </row>
    <row r="7" ht="12.75" customHeight="1">
      <c r="A7" s="9" t="s">
        <v>147</v>
      </c>
      <c r="B7" s="18">
        <f>'My trades'!G103-'My trades'!D103</f>
        <v>69</v>
      </c>
      <c r="C7" s="25">
        <f>('My trades'!H103-'My trades'!F103)*'My trades'!E103</f>
        <v>-2.694724227</v>
      </c>
    </row>
    <row r="8" ht="12.75" customHeight="1">
      <c r="A8" s="9" t="s">
        <v>82</v>
      </c>
      <c r="B8" s="18">
        <f>'My trades'!G41-'My trades'!D41</f>
        <v>71</v>
      </c>
      <c r="C8" s="25">
        <f>('My trades'!H41-'My trades'!F41)*'My trades'!E41</f>
        <v>-1.670674258</v>
      </c>
    </row>
    <row r="9" ht="12.75" customHeight="1">
      <c r="A9" s="9" t="s">
        <v>42</v>
      </c>
      <c r="B9" s="18">
        <f>'My trades'!G17-'My trades'!D17</f>
        <v>78</v>
      </c>
      <c r="C9" s="25">
        <f>('My trades'!H17-'My trades'!F17)*'My trades'!E17</f>
        <v>-4.03817679</v>
      </c>
      <c r="G9" s="26" t="s">
        <v>252</v>
      </c>
      <c r="H9" s="26" t="s">
        <v>253</v>
      </c>
      <c r="I9" s="26" t="s">
        <v>254</v>
      </c>
      <c r="J9" s="26" t="s">
        <v>255</v>
      </c>
      <c r="K9" s="26" t="s">
        <v>256</v>
      </c>
      <c r="L9" s="26" t="s">
        <v>257</v>
      </c>
    </row>
    <row r="10" ht="12.75" customHeight="1">
      <c r="A10" s="9" t="s">
        <v>231</v>
      </c>
      <c r="B10" s="18">
        <f>'My trades'!G187-'My trades'!D187</f>
        <v>80</v>
      </c>
      <c r="C10" s="25">
        <f>('My trades'!H187-'My trades'!F187)*'My trades'!E187</f>
        <v>-0.1353252514</v>
      </c>
      <c r="G10" s="27">
        <f>AVERAGE(B:B)</f>
        <v>449.795</v>
      </c>
      <c r="H10" s="18">
        <f>MODE(B:B)</f>
        <v>623</v>
      </c>
      <c r="I10" s="18">
        <f>MEDIAN(B:B)</f>
        <v>444</v>
      </c>
      <c r="J10" s="27">
        <f>_xlfn.STDEV.P(B2:B201)</f>
        <v>222.2356024</v>
      </c>
      <c r="K10" s="18">
        <f>MIN(B2:B201)</f>
        <v>30</v>
      </c>
      <c r="L10" s="18">
        <f>MAX(B2:B201)</f>
        <v>862</v>
      </c>
    </row>
    <row r="11" ht="12.75" customHeight="1">
      <c r="A11" s="9" t="s">
        <v>196</v>
      </c>
      <c r="B11" s="18">
        <f>'My trades'!G152-'My trades'!D152</f>
        <v>87</v>
      </c>
      <c r="C11" s="25">
        <f>('My trades'!H152-'My trades'!F152)*'My trades'!E152</f>
        <v>2.332716023</v>
      </c>
    </row>
    <row r="12" ht="12.75" customHeight="1">
      <c r="A12" s="9" t="s">
        <v>113</v>
      </c>
      <c r="B12" s="18">
        <f>'My trades'!G70-'My trades'!D70</f>
        <v>88</v>
      </c>
      <c r="C12" s="25">
        <f>('My trades'!H70-'My trades'!F70)*'My trades'!E70</f>
        <v>0.4358493707</v>
      </c>
    </row>
    <row r="13" ht="12.75" customHeight="1">
      <c r="A13" s="9" t="s">
        <v>84</v>
      </c>
      <c r="B13" s="18">
        <f>'My trades'!G43-'My trades'!D43</f>
        <v>106</v>
      </c>
      <c r="C13" s="25">
        <f>('My trades'!H43-'My trades'!F43)*'My trades'!E43</f>
        <v>1.719800738</v>
      </c>
      <c r="G13" s="18" t="s">
        <v>258</v>
      </c>
      <c r="H13" s="27">
        <f>G10-J10</f>
        <v>227.5593976</v>
      </c>
    </row>
    <row r="14" ht="12.75" customHeight="1">
      <c r="A14" s="9" t="s">
        <v>37</v>
      </c>
      <c r="B14" s="18">
        <f>'My trades'!G14-'My trades'!D14</f>
        <v>109</v>
      </c>
      <c r="C14" s="25">
        <f>('My trades'!H14-'My trades'!F14)*'My trades'!E14</f>
        <v>2.915170694</v>
      </c>
      <c r="G14" s="18" t="s">
        <v>259</v>
      </c>
      <c r="H14" s="27">
        <f>G10+J10</f>
        <v>672.0306024</v>
      </c>
    </row>
    <row r="15" ht="12.75" customHeight="1">
      <c r="A15" s="9" t="s">
        <v>189</v>
      </c>
      <c r="B15" s="18">
        <f>'My trades'!G145-'My trades'!D145</f>
        <v>123</v>
      </c>
      <c r="C15" s="25">
        <f>('My trades'!H145-'My trades'!F145)*'My trades'!E145</f>
        <v>0.6339860651</v>
      </c>
      <c r="G15" s="18" t="s">
        <v>260</v>
      </c>
      <c r="H15" s="28">
        <f>118/200</f>
        <v>0.59</v>
      </c>
    </row>
    <row r="16" ht="12.75" customHeight="1">
      <c r="A16" s="9" t="s">
        <v>152</v>
      </c>
      <c r="B16" s="18">
        <f>'My trades'!G108-'My trades'!D108</f>
        <v>126</v>
      </c>
      <c r="C16" s="25">
        <f>('My trades'!H108-'My trades'!F108)*'My trades'!E108</f>
        <v>2.067388636</v>
      </c>
    </row>
    <row r="17" ht="12.75" customHeight="1">
      <c r="A17" s="9" t="s">
        <v>78</v>
      </c>
      <c r="B17" s="18">
        <f>'My trades'!G38-'My trades'!D38</f>
        <v>130</v>
      </c>
      <c r="C17" s="25">
        <f>('My trades'!H38-'My trades'!F38)*'My trades'!E38</f>
        <v>-0.4191926777</v>
      </c>
    </row>
    <row r="18" ht="12.75" customHeight="1">
      <c r="A18" s="9" t="s">
        <v>202</v>
      </c>
      <c r="B18" s="18">
        <f>'My trades'!G158-'My trades'!D158</f>
        <v>141</v>
      </c>
      <c r="C18" s="25">
        <f>('My trades'!H158-'My trades'!F158)*'My trades'!E158</f>
        <v>-0.3373394713</v>
      </c>
    </row>
    <row r="19" ht="12.75" customHeight="1">
      <c r="A19" s="9" t="s">
        <v>213</v>
      </c>
      <c r="B19" s="18">
        <f>'My trades'!G169-'My trades'!D169</f>
        <v>143</v>
      </c>
      <c r="C19" s="25">
        <f>('My trades'!H169-'My trades'!F169)*'My trades'!E169</f>
        <v>0.03317406039</v>
      </c>
    </row>
    <row r="20" ht="12.75" customHeight="1">
      <c r="A20" s="9" t="s">
        <v>214</v>
      </c>
      <c r="B20" s="18">
        <f>'My trades'!G170-'My trades'!D170</f>
        <v>143</v>
      </c>
      <c r="C20" s="25">
        <f>('My trades'!H170-'My trades'!F170)*'My trades'!E170</f>
        <v>0.4465712879</v>
      </c>
    </row>
    <row r="21" ht="12.75" customHeight="1">
      <c r="A21" s="9" t="s">
        <v>184</v>
      </c>
      <c r="B21" s="18">
        <f>'My trades'!G140-'My trades'!D140</f>
        <v>146</v>
      </c>
      <c r="C21" s="25">
        <f>('My trades'!H140-'My trades'!F140)*'My trades'!E140</f>
        <v>0.8219209989</v>
      </c>
      <c r="E21" s="29" t="s">
        <v>261</v>
      </c>
    </row>
    <row r="22" ht="12.75" customHeight="1">
      <c r="A22" s="9" t="s">
        <v>208</v>
      </c>
      <c r="B22" s="18">
        <f>'My trades'!G164-'My trades'!D164</f>
        <v>148</v>
      </c>
      <c r="C22" s="25">
        <f>('My trades'!H164-'My trades'!F164)*'My trades'!E164</f>
        <v>-0.2800213894</v>
      </c>
    </row>
    <row r="23" ht="12.75" customHeight="1">
      <c r="A23" s="9" t="s">
        <v>171</v>
      </c>
      <c r="B23" s="18">
        <f>'My trades'!G127-'My trades'!D127</f>
        <v>152</v>
      </c>
      <c r="C23" s="25">
        <f>('My trades'!H127-'My trades'!F127)*'My trades'!E127</f>
        <v>-0.5418734895</v>
      </c>
    </row>
    <row r="24" ht="12.75" customHeight="1">
      <c r="A24" s="9" t="s">
        <v>243</v>
      </c>
      <c r="B24" s="18">
        <f>'My trades'!G199-'My trades'!D199</f>
        <v>159</v>
      </c>
      <c r="C24" s="25">
        <f>('My trades'!H199-'My trades'!F199)*'My trades'!E199</f>
        <v>1.452622647</v>
      </c>
    </row>
    <row r="25" ht="12.75" customHeight="1">
      <c r="A25" s="9" t="s">
        <v>97</v>
      </c>
      <c r="B25" s="18">
        <f>'My trades'!G56-'My trades'!D56</f>
        <v>162</v>
      </c>
      <c r="C25" s="25">
        <f>('My trades'!H56-'My trades'!F56)*'My trades'!E56</f>
        <v>2.824521311</v>
      </c>
    </row>
    <row r="26" ht="12.75" customHeight="1">
      <c r="A26" s="9" t="s">
        <v>153</v>
      </c>
      <c r="B26" s="18">
        <f>'My trades'!G109-'My trades'!D109</f>
        <v>163</v>
      </c>
      <c r="C26" s="25">
        <f>('My trades'!H109-'My trades'!F109)*'My trades'!E109</f>
        <v>4.362332673</v>
      </c>
    </row>
    <row r="27" ht="12.75" customHeight="1">
      <c r="A27" s="9" t="s">
        <v>182</v>
      </c>
      <c r="B27" s="18">
        <f>'My trades'!G138-'My trades'!D138</f>
        <v>169</v>
      </c>
      <c r="C27" s="25">
        <f>('My trades'!H138-'My trades'!F138)*'My trades'!E138</f>
        <v>-1.352457984</v>
      </c>
    </row>
    <row r="28" ht="12.75" customHeight="1">
      <c r="A28" s="9" t="s">
        <v>221</v>
      </c>
      <c r="B28" s="18">
        <f>'My trades'!G177-'My trades'!D177</f>
        <v>172</v>
      </c>
      <c r="C28" s="25">
        <f>('My trades'!H177-'My trades'!F177)*'My trades'!E177</f>
        <v>-1.525603316</v>
      </c>
    </row>
    <row r="29" ht="12.75" customHeight="1">
      <c r="A29" s="9" t="s">
        <v>169</v>
      </c>
      <c r="B29" s="18">
        <f>'My trades'!G125-'My trades'!D125</f>
        <v>175</v>
      </c>
      <c r="C29" s="25">
        <f>('My trades'!H125-'My trades'!F125)*'My trades'!E125</f>
        <v>-0.5170347159</v>
      </c>
    </row>
    <row r="30" ht="12.75" customHeight="1">
      <c r="A30" s="9" t="s">
        <v>106</v>
      </c>
      <c r="B30" s="18">
        <f>'My trades'!G63-'My trades'!D63</f>
        <v>181</v>
      </c>
      <c r="C30" s="25">
        <f>('My trades'!H63-'My trades'!F63)*'My trades'!E63</f>
        <v>0.4006979439</v>
      </c>
    </row>
    <row r="31" ht="12.75" customHeight="1">
      <c r="A31" s="9" t="s">
        <v>237</v>
      </c>
      <c r="B31" s="18">
        <f>'My trades'!G193-'My trades'!D193</f>
        <v>181</v>
      </c>
      <c r="C31" s="25">
        <f>('My trades'!H193-'My trades'!F193)*'My trades'!E193</f>
        <v>-0.6649058326</v>
      </c>
    </row>
    <row r="32" ht="12.75" customHeight="1">
      <c r="A32" s="9" t="s">
        <v>164</v>
      </c>
      <c r="B32" s="18">
        <f>'My trades'!G120-'My trades'!D120</f>
        <v>184</v>
      </c>
      <c r="C32" s="25">
        <f>('My trades'!H120-'My trades'!F120)*'My trades'!E120</f>
        <v>-0.6232274897</v>
      </c>
    </row>
    <row r="33" ht="12.75" customHeight="1">
      <c r="A33" s="9" t="s">
        <v>123</v>
      </c>
      <c r="B33" s="18">
        <f>'My trades'!G80-'My trades'!D80</f>
        <v>199</v>
      </c>
      <c r="C33" s="25">
        <f>('My trades'!H80-'My trades'!F80)*'My trades'!E80</f>
        <v>-0.2008580585</v>
      </c>
    </row>
    <row r="34" ht="12.75" customHeight="1">
      <c r="A34" s="9" t="s">
        <v>112</v>
      </c>
      <c r="B34" s="18">
        <f>'My trades'!G69-'My trades'!D69</f>
        <v>204</v>
      </c>
      <c r="C34" s="25">
        <f>('My trades'!H69-'My trades'!F69)*'My trades'!E69</f>
        <v>-2.571603263</v>
      </c>
    </row>
    <row r="35" ht="12.75" customHeight="1">
      <c r="A35" s="9" t="s">
        <v>64</v>
      </c>
      <c r="B35" s="18">
        <f>'My trades'!G27-'My trades'!D27</f>
        <v>207</v>
      </c>
      <c r="C35" s="25">
        <f>('My trades'!H27-'My trades'!F27)*'My trades'!E27</f>
        <v>-5.429532675</v>
      </c>
    </row>
    <row r="36" ht="12.75" customHeight="1">
      <c r="A36" s="9" t="s">
        <v>131</v>
      </c>
      <c r="B36" s="18">
        <f>'My trades'!G87-'My trades'!D87</f>
        <v>207</v>
      </c>
      <c r="C36" s="25">
        <f>('My trades'!H87-'My trades'!F87)*'My trades'!E87</f>
        <v>5.516645152</v>
      </c>
    </row>
    <row r="37" ht="12.75" customHeight="1">
      <c r="A37" s="9" t="s">
        <v>128</v>
      </c>
      <c r="B37" s="18">
        <f>'My trades'!G85-'My trades'!D85</f>
        <v>212</v>
      </c>
      <c r="C37" s="25">
        <f>('My trades'!H85-'My trades'!F85)*'My trades'!E85</f>
        <v>1.329779484</v>
      </c>
    </row>
    <row r="38" ht="12.75" customHeight="1">
      <c r="A38" s="9" t="s">
        <v>211</v>
      </c>
      <c r="B38" s="18">
        <f>'My trades'!G167-'My trades'!D167</f>
        <v>213</v>
      </c>
      <c r="C38" s="25">
        <f>('My trades'!H167-'My trades'!F167)*'My trades'!E167</f>
        <v>3.03434741</v>
      </c>
    </row>
    <row r="39" ht="12.75" customHeight="1">
      <c r="A39" s="9" t="s">
        <v>115</v>
      </c>
      <c r="B39" s="18">
        <f>'My trades'!G72-'My trades'!D72</f>
        <v>222</v>
      </c>
      <c r="C39" s="25">
        <f>('My trades'!H72-'My trades'!F72)*'My trades'!E72</f>
        <v>0.07878510095</v>
      </c>
    </row>
    <row r="40" ht="12.75" customHeight="1">
      <c r="A40" s="9" t="s">
        <v>86</v>
      </c>
      <c r="B40" s="18">
        <f>'My trades'!G45-'My trades'!D45</f>
        <v>227</v>
      </c>
      <c r="C40" s="25">
        <f>('My trades'!H45-'My trades'!F45)*'My trades'!E45</f>
        <v>-0.5547098446</v>
      </c>
    </row>
    <row r="41" ht="12.75" customHeight="1">
      <c r="A41" s="9" t="s">
        <v>120</v>
      </c>
      <c r="B41" s="18">
        <f>'My trades'!G77-'My trades'!D77</f>
        <v>229</v>
      </c>
      <c r="C41" s="25">
        <f>('My trades'!H77-'My trades'!F77)*'My trades'!E77</f>
        <v>-2.136908728</v>
      </c>
    </row>
    <row r="42" ht="12.75" customHeight="1">
      <c r="A42" s="9" t="s">
        <v>218</v>
      </c>
      <c r="B42" s="18">
        <f>'My trades'!G174-'My trades'!D174</f>
        <v>229</v>
      </c>
      <c r="C42" s="25">
        <f>('My trades'!H174-'My trades'!F174)*'My trades'!E174</f>
        <v>-1.071061657</v>
      </c>
    </row>
    <row r="43" ht="12.75" customHeight="1">
      <c r="A43" s="9" t="s">
        <v>227</v>
      </c>
      <c r="B43" s="18">
        <f>'My trades'!G183-'My trades'!D183</f>
        <v>231</v>
      </c>
      <c r="C43" s="25">
        <f>('My trades'!H183-'My trades'!F183)*'My trades'!E183</f>
        <v>-2.634202274</v>
      </c>
    </row>
    <row r="44" ht="12.75" customHeight="1">
      <c r="A44" s="9" t="s">
        <v>207</v>
      </c>
      <c r="B44" s="18">
        <f>'My trades'!G163-'My trades'!D163</f>
        <v>235</v>
      </c>
      <c r="C44" s="25">
        <f>('My trades'!H163-'My trades'!F163)*'My trades'!E163</f>
        <v>-0.9299595803</v>
      </c>
    </row>
    <row r="45" ht="12.75" customHeight="1">
      <c r="A45" s="9" t="s">
        <v>60</v>
      </c>
      <c r="B45" s="18">
        <f>'My trades'!G25-'My trades'!D25</f>
        <v>237</v>
      </c>
      <c r="C45" s="25">
        <f>('My trades'!H25-'My trades'!F25)*'My trades'!E25</f>
        <v>0.4472007049</v>
      </c>
    </row>
    <row r="46" ht="12.75" customHeight="1">
      <c r="A46" s="9" t="s">
        <v>141</v>
      </c>
      <c r="B46" s="18">
        <f>'My trades'!G97-'My trades'!D97</f>
        <v>241</v>
      </c>
      <c r="C46" s="25">
        <f>('My trades'!H97-'My trades'!F97)*'My trades'!E97</f>
        <v>-1.514640048</v>
      </c>
    </row>
    <row r="47" ht="12.75" customHeight="1">
      <c r="A47" s="9" t="s">
        <v>154</v>
      </c>
      <c r="B47" s="18">
        <f>'My trades'!G110-'My trades'!D110</f>
        <v>242</v>
      </c>
      <c r="C47" s="25">
        <f>('My trades'!H110-'My trades'!F110)*'My trades'!E110</f>
        <v>0.1864305015</v>
      </c>
    </row>
    <row r="48" ht="12.75" customHeight="1">
      <c r="A48" s="9" t="s">
        <v>116</v>
      </c>
      <c r="B48" s="18">
        <f>'My trades'!G73-'My trades'!D73</f>
        <v>244</v>
      </c>
      <c r="C48" s="25">
        <f>('My trades'!H73-'My trades'!F73)*'My trades'!E73</f>
        <v>6.710776724</v>
      </c>
    </row>
    <row r="49" ht="12.75" customHeight="1">
      <c r="A49" s="9" t="s">
        <v>187</v>
      </c>
      <c r="B49" s="18">
        <f>'My trades'!G143-'My trades'!D143</f>
        <v>244</v>
      </c>
      <c r="C49" s="25">
        <f>('My trades'!H143-'My trades'!F143)*'My trades'!E143</f>
        <v>-2.073992358</v>
      </c>
    </row>
    <row r="50" ht="12.75" customHeight="1">
      <c r="A50" s="9" t="s">
        <v>166</v>
      </c>
      <c r="B50" s="18">
        <f>'My trades'!G122-'My trades'!D122</f>
        <v>248</v>
      </c>
      <c r="C50" s="25">
        <f>('My trades'!H122-'My trades'!F122)*'My trades'!E122</f>
        <v>1.369786097</v>
      </c>
    </row>
    <row r="51" ht="12.75" customHeight="1">
      <c r="A51" s="9" t="s">
        <v>8</v>
      </c>
      <c r="B51" s="18">
        <f>'My trades'!G2-'My trades'!D2</f>
        <v>251</v>
      </c>
      <c r="C51" s="25">
        <f>('My trades'!H2-'My trades'!F2)*'My trades'!E2</f>
        <v>1.917610405</v>
      </c>
    </row>
    <row r="52" ht="12.75" customHeight="1">
      <c r="A52" s="9" t="s">
        <v>111</v>
      </c>
      <c r="B52" s="18">
        <f>'My trades'!G68-'My trades'!D68</f>
        <v>257</v>
      </c>
      <c r="C52" s="25">
        <f>('My trades'!H68-'My trades'!F68)*'My trades'!E68</f>
        <v>-0.4277926536</v>
      </c>
    </row>
    <row r="53" ht="12.75" customHeight="1">
      <c r="A53" s="9" t="s">
        <v>195</v>
      </c>
      <c r="B53" s="18">
        <f>'My trades'!G151-'My trades'!D151</f>
        <v>260</v>
      </c>
      <c r="C53" s="25">
        <f>('My trades'!H151-'My trades'!F151)*'My trades'!E151</f>
        <v>0.01928011765</v>
      </c>
    </row>
    <row r="54" ht="12.75" customHeight="1">
      <c r="A54" s="9" t="s">
        <v>41</v>
      </c>
      <c r="B54" s="18">
        <f>'My trades'!G16-'My trades'!D16</f>
        <v>267</v>
      </c>
      <c r="C54" s="25">
        <f>('My trades'!H16-'My trades'!F16)*'My trades'!E16</f>
        <v>-0.3773899112</v>
      </c>
    </row>
    <row r="55" ht="12.75" customHeight="1">
      <c r="A55" s="9" t="s">
        <v>156</v>
      </c>
      <c r="B55" s="18">
        <f>'My trades'!G112-'My trades'!D112</f>
        <v>271</v>
      </c>
      <c r="C55" s="25">
        <f>('My trades'!H112-'My trades'!F112)*'My trades'!E112</f>
        <v>-2.298440221</v>
      </c>
    </row>
    <row r="56" ht="12.75" customHeight="1">
      <c r="A56" s="9" t="s">
        <v>85</v>
      </c>
      <c r="B56" s="18">
        <f>'My trades'!G44-'My trades'!D44</f>
        <v>277</v>
      </c>
      <c r="C56" s="25">
        <f>('My trades'!H44-'My trades'!F44)*'My trades'!E44</f>
        <v>5.655729627</v>
      </c>
    </row>
    <row r="57" ht="12.75" customHeight="1">
      <c r="A57" s="9" t="s">
        <v>108</v>
      </c>
      <c r="B57" s="18">
        <f>'My trades'!G65-'My trades'!D65</f>
        <v>281</v>
      </c>
      <c r="C57" s="25">
        <f>('My trades'!H65-'My trades'!F65)*'My trades'!E65</f>
        <v>0.5635407759</v>
      </c>
    </row>
    <row r="58" ht="12.75" customHeight="1">
      <c r="A58" s="9" t="s">
        <v>228</v>
      </c>
      <c r="B58" s="18">
        <f>'My trades'!G184-'My trades'!D184</f>
        <v>285</v>
      </c>
      <c r="C58" s="25">
        <f>('My trades'!H184-'My trades'!F184)*'My trades'!E184</f>
        <v>0.3284976787</v>
      </c>
    </row>
    <row r="59" ht="12.75" customHeight="1">
      <c r="A59" s="9" t="s">
        <v>185</v>
      </c>
      <c r="B59" s="18">
        <f>'My trades'!G141-'My trades'!D141</f>
        <v>292</v>
      </c>
      <c r="C59" s="25">
        <f>('My trades'!H141-'My trades'!F141)*'My trades'!E141</f>
        <v>-2.779384599</v>
      </c>
    </row>
    <row r="60" ht="12.75" customHeight="1">
      <c r="A60" s="9" t="s">
        <v>119</v>
      </c>
      <c r="B60" s="18">
        <f>'My trades'!G76-'My trades'!D76</f>
        <v>294</v>
      </c>
      <c r="C60" s="25">
        <f>('My trades'!H76-'My trades'!F76)*'My trades'!E76</f>
        <v>-0.1473726943</v>
      </c>
    </row>
    <row r="61" ht="12.75" customHeight="1">
      <c r="A61" s="9" t="s">
        <v>244</v>
      </c>
      <c r="B61" s="18">
        <f>'My trades'!G200-'My trades'!D200</f>
        <v>295</v>
      </c>
      <c r="C61" s="25">
        <f>('My trades'!H200-'My trades'!F200)*'My trades'!E200</f>
        <v>2.329977043</v>
      </c>
    </row>
    <row r="62" ht="12.75" customHeight="1">
      <c r="A62" s="9" t="s">
        <v>179</v>
      </c>
      <c r="B62" s="18">
        <f>'My trades'!G135-'My trades'!D135</f>
        <v>301</v>
      </c>
      <c r="C62" s="25">
        <f>('My trades'!H135-'My trades'!F135)*'My trades'!E135</f>
        <v>-0.5781591828</v>
      </c>
    </row>
    <row r="63" ht="12.75" customHeight="1">
      <c r="A63" s="9" t="s">
        <v>16</v>
      </c>
      <c r="B63" s="18">
        <f>'My trades'!G5-'My trades'!D5</f>
        <v>307</v>
      </c>
      <c r="C63" s="25">
        <f>('My trades'!H5-'My trades'!F5)*'My trades'!E5</f>
        <v>0.3676563997</v>
      </c>
    </row>
    <row r="64" ht="12.75" customHeight="1">
      <c r="A64" s="9" t="s">
        <v>191</v>
      </c>
      <c r="B64" s="18">
        <f>'My trades'!G147-'My trades'!D147</f>
        <v>307</v>
      </c>
      <c r="C64" s="25">
        <f>('My trades'!H147-'My trades'!F147)*'My trades'!E147</f>
        <v>4.45872905</v>
      </c>
    </row>
    <row r="65" ht="12.75" customHeight="1">
      <c r="A65" s="9" t="s">
        <v>163</v>
      </c>
      <c r="B65" s="18">
        <f>'My trades'!G119-'My trades'!D119</f>
        <v>308</v>
      </c>
      <c r="C65" s="25">
        <f>('My trades'!H119-'My trades'!F119)*'My trades'!E119</f>
        <v>-3.623797837</v>
      </c>
    </row>
    <row r="66" ht="12.75" customHeight="1">
      <c r="A66" s="9" t="s">
        <v>117</v>
      </c>
      <c r="B66" s="18">
        <f>'My trades'!G74-'My trades'!D74</f>
        <v>310</v>
      </c>
      <c r="C66" s="25">
        <f>('My trades'!H74-'My trades'!F74)*'My trades'!E74</f>
        <v>-1.330794824</v>
      </c>
    </row>
    <row r="67" ht="12.75" customHeight="1">
      <c r="A67" s="9" t="s">
        <v>199</v>
      </c>
      <c r="B67" s="18">
        <f>'My trades'!G155-'My trades'!D155</f>
        <v>319</v>
      </c>
      <c r="C67" s="25">
        <f>('My trades'!H155-'My trades'!F155)*'My trades'!E155</f>
        <v>3.090049382</v>
      </c>
    </row>
    <row r="68" ht="12.75" customHeight="1">
      <c r="A68" s="9" t="s">
        <v>96</v>
      </c>
      <c r="B68" s="18">
        <f>'My trades'!G55-'My trades'!D55</f>
        <v>324</v>
      </c>
      <c r="C68" s="25">
        <f>('My trades'!H55-'My trades'!F55)*'My trades'!E55</f>
        <v>1.111511839</v>
      </c>
    </row>
    <row r="69" ht="12.75" customHeight="1">
      <c r="A69" s="9" t="s">
        <v>89</v>
      </c>
      <c r="B69" s="18">
        <f>'My trades'!G48-'My trades'!D48</f>
        <v>326</v>
      </c>
      <c r="C69" s="25">
        <f>('My trades'!H48-'My trades'!F48)*'My trades'!E48</f>
        <v>-6.552885052</v>
      </c>
    </row>
    <row r="70" ht="12.75" customHeight="1">
      <c r="A70" s="9" t="s">
        <v>176</v>
      </c>
      <c r="B70" s="18">
        <f>'My trades'!G132-'My trades'!D132</f>
        <v>329</v>
      </c>
      <c r="C70" s="25">
        <f>('My trades'!H132-'My trades'!F132)*'My trades'!E132</f>
        <v>0.406694502</v>
      </c>
    </row>
    <row r="71" ht="12.75" customHeight="1">
      <c r="A71" s="9" t="s">
        <v>234</v>
      </c>
      <c r="B71" s="18">
        <f>'My trades'!G190-'My trades'!D190</f>
        <v>342</v>
      </c>
      <c r="C71" s="25">
        <f>('My trades'!H190-'My trades'!F190)*'My trades'!E190</f>
        <v>0.1941614345</v>
      </c>
    </row>
    <row r="72" ht="12.75" customHeight="1">
      <c r="A72" s="9" t="s">
        <v>99</v>
      </c>
      <c r="B72" s="18">
        <f>'My trades'!G58-'My trades'!D58</f>
        <v>344</v>
      </c>
      <c r="C72" s="25">
        <f>('My trades'!H58-'My trades'!F58)*'My trades'!E58</f>
        <v>1.282039599</v>
      </c>
    </row>
    <row r="73" ht="12.75" customHeight="1">
      <c r="A73" s="9" t="s">
        <v>205</v>
      </c>
      <c r="B73" s="18">
        <f>'My trades'!G161-'My trades'!D161</f>
        <v>345</v>
      </c>
      <c r="C73" s="25">
        <f>('My trades'!H161-'My trades'!F161)*'My trades'!E161</f>
        <v>-0.06218313782</v>
      </c>
    </row>
    <row r="74" ht="12.75" customHeight="1">
      <c r="A74" s="9" t="s">
        <v>127</v>
      </c>
      <c r="B74" s="18">
        <f>'My trades'!G84-'My trades'!D84</f>
        <v>351</v>
      </c>
      <c r="C74" s="25">
        <f>('My trades'!H84-'My trades'!F84)*'My trades'!E84</f>
        <v>0.1217459028</v>
      </c>
    </row>
    <row r="75" ht="12.75" customHeight="1">
      <c r="A75" s="9" t="s">
        <v>110</v>
      </c>
      <c r="B75" s="18">
        <f>'My trades'!G67-'My trades'!D67</f>
        <v>355</v>
      </c>
      <c r="C75" s="25">
        <f>('My trades'!H67-'My trades'!F67)*'My trades'!E67</f>
        <v>-0.5703856174</v>
      </c>
    </row>
    <row r="76" ht="12.75" customHeight="1">
      <c r="A76" s="9" t="s">
        <v>210</v>
      </c>
      <c r="B76" s="18">
        <f>'My trades'!G166-'My trades'!D166</f>
        <v>358</v>
      </c>
      <c r="C76" s="25">
        <f>('My trades'!H166-'My trades'!F166)*'My trades'!E166</f>
        <v>0.01773287728</v>
      </c>
    </row>
    <row r="77" ht="12.75" customHeight="1">
      <c r="A77" s="9" t="s">
        <v>162</v>
      </c>
      <c r="B77" s="18">
        <f>'My trades'!G118-'My trades'!D118</f>
        <v>361</v>
      </c>
      <c r="C77" s="25">
        <f>('My trades'!H118-'My trades'!F118)*'My trades'!E118</f>
        <v>-0.1433261608</v>
      </c>
    </row>
    <row r="78" ht="12.75" customHeight="1">
      <c r="A78" s="9" t="s">
        <v>236</v>
      </c>
      <c r="B78" s="18">
        <f>'My trades'!G192-'My trades'!D192</f>
        <v>369</v>
      </c>
      <c r="C78" s="25">
        <f>('My trades'!H192-'My trades'!F192)*'My trades'!E192</f>
        <v>1.927195655</v>
      </c>
    </row>
    <row r="79" ht="12.75" customHeight="1">
      <c r="A79" s="9" t="s">
        <v>158</v>
      </c>
      <c r="B79" s="18">
        <f>'My trades'!G114-'My trades'!D114</f>
        <v>375</v>
      </c>
      <c r="C79" s="25">
        <f>('My trades'!H114-'My trades'!F114)*'My trades'!E114</f>
        <v>0.5172914288</v>
      </c>
    </row>
    <row r="80" ht="12.75" customHeight="1">
      <c r="A80" s="9" t="s">
        <v>194</v>
      </c>
      <c r="B80" s="18">
        <f>'My trades'!G150-'My trades'!D150</f>
        <v>376</v>
      </c>
      <c r="C80" s="25">
        <f>('My trades'!H150-'My trades'!F150)*'My trades'!E150</f>
        <v>-0.01207375353</v>
      </c>
    </row>
    <row r="81" ht="12.75" customHeight="1">
      <c r="A81" s="9" t="s">
        <v>197</v>
      </c>
      <c r="B81" s="18">
        <f>'My trades'!G153-'My trades'!D153</f>
        <v>379</v>
      </c>
      <c r="C81" s="25">
        <f>('My trades'!H153-'My trades'!F153)*'My trades'!E153</f>
        <v>-0.4510230208</v>
      </c>
    </row>
    <row r="82" ht="12.75" customHeight="1">
      <c r="A82" s="9" t="s">
        <v>69</v>
      </c>
      <c r="B82" s="18">
        <f>'My trades'!G32-'My trades'!D32</f>
        <v>387</v>
      </c>
      <c r="C82" s="25">
        <f>('My trades'!H32-'My trades'!F32)*'My trades'!E32</f>
        <v>5.773050851</v>
      </c>
    </row>
    <row r="83" ht="12.75" customHeight="1">
      <c r="A83" s="9" t="s">
        <v>149</v>
      </c>
      <c r="B83" s="18">
        <f>'My trades'!G105-'My trades'!D105</f>
        <v>392</v>
      </c>
      <c r="C83" s="25">
        <f>('My trades'!H105-'My trades'!F105)*'My trades'!E105</f>
        <v>-5.081880752</v>
      </c>
    </row>
    <row r="84" ht="12.75" customHeight="1">
      <c r="A84" s="9" t="s">
        <v>148</v>
      </c>
      <c r="B84" s="18">
        <f>'My trades'!G104-'My trades'!D104</f>
        <v>396</v>
      </c>
      <c r="C84" s="25">
        <f>('My trades'!H104-'My trades'!F104)*'My trades'!E104</f>
        <v>3.308665437</v>
      </c>
    </row>
    <row r="85" ht="12.75" customHeight="1">
      <c r="A85" s="9" t="s">
        <v>130</v>
      </c>
      <c r="B85" s="18">
        <f>'My trades'!G86-'My trades'!D86</f>
        <v>397</v>
      </c>
      <c r="C85" s="25">
        <f>('My trades'!H86-'My trades'!F86)*'My trades'!E86</f>
        <v>-0.2018619792</v>
      </c>
    </row>
    <row r="86" ht="12.75" customHeight="1">
      <c r="A86" s="9" t="s">
        <v>32</v>
      </c>
      <c r="B86" s="18">
        <f>'My trades'!G11-'My trades'!D11</f>
        <v>400</v>
      </c>
      <c r="C86" s="25">
        <f>('My trades'!H11-'My trades'!F11)*'My trades'!E11</f>
        <v>1.062377735</v>
      </c>
    </row>
    <row r="87" ht="12.75" customHeight="1">
      <c r="A87" s="9" t="s">
        <v>204</v>
      </c>
      <c r="B87" s="18">
        <f>'My trades'!G160-'My trades'!D160</f>
        <v>404</v>
      </c>
      <c r="C87" s="25">
        <f>('My trades'!H160-'My trades'!F160)*'My trades'!E160</f>
        <v>-0.1233482954</v>
      </c>
    </row>
    <row r="88" ht="12.75" customHeight="1">
      <c r="A88" s="9" t="s">
        <v>173</v>
      </c>
      <c r="B88" s="18">
        <f>'My trades'!G129-'My trades'!D129</f>
        <v>406</v>
      </c>
      <c r="C88" s="25">
        <f>('My trades'!H129-'My trades'!F129)*'My trades'!E129</f>
        <v>-0.9910905679</v>
      </c>
    </row>
    <row r="89" ht="12.75" customHeight="1">
      <c r="A89" s="9" t="s">
        <v>26</v>
      </c>
      <c r="B89" s="18">
        <f>'My trades'!G9-'My trades'!D9</f>
        <v>407</v>
      </c>
      <c r="C89" s="25">
        <f>('My trades'!H9-'My trades'!F9)*'My trades'!E9</f>
        <v>1.012679493</v>
      </c>
    </row>
    <row r="90" ht="12.75" customHeight="1">
      <c r="A90" s="9" t="s">
        <v>125</v>
      </c>
      <c r="B90" s="18">
        <f>'My trades'!G82-'My trades'!D82</f>
        <v>407</v>
      </c>
      <c r="C90" s="25">
        <f>('My trades'!H82-'My trades'!F82)*'My trades'!E82</f>
        <v>-0.3773584619</v>
      </c>
    </row>
    <row r="91" ht="12.75" customHeight="1">
      <c r="A91" s="9" t="s">
        <v>193</v>
      </c>
      <c r="B91" s="18">
        <f>'My trades'!G149-'My trades'!D149</f>
        <v>410</v>
      </c>
      <c r="C91" s="25">
        <f>('My trades'!H149-'My trades'!F149)*'My trades'!E149</f>
        <v>0.303439509</v>
      </c>
    </row>
    <row r="92" ht="12.75" customHeight="1">
      <c r="A92" s="9" t="s">
        <v>161</v>
      </c>
      <c r="B92" s="18">
        <f>'My trades'!G117-'My trades'!D117</f>
        <v>417</v>
      </c>
      <c r="C92" s="25">
        <f>('My trades'!H117-'My trades'!F117)*'My trades'!E117</f>
        <v>-3.040018177</v>
      </c>
    </row>
    <row r="93" ht="12.75" customHeight="1">
      <c r="A93" s="9" t="s">
        <v>144</v>
      </c>
      <c r="B93" s="18">
        <f>'My trades'!G100-'My trades'!D100</f>
        <v>418</v>
      </c>
      <c r="C93" s="25">
        <f>('My trades'!H100-'My trades'!F100)*'My trades'!E100</f>
        <v>-0.04862070705</v>
      </c>
    </row>
    <row r="94" ht="12.75" customHeight="1">
      <c r="A94" s="9" t="s">
        <v>201</v>
      </c>
      <c r="B94" s="18">
        <f>'My trades'!G157-'My trades'!D157</f>
        <v>420</v>
      </c>
      <c r="C94" s="25">
        <f>('My trades'!H157-'My trades'!F157)*'My trades'!E157</f>
        <v>0.4462786364</v>
      </c>
    </row>
    <row r="95" ht="12.75" customHeight="1">
      <c r="A95" s="9" t="s">
        <v>92</v>
      </c>
      <c r="B95" s="18">
        <f>'My trades'!G51-'My trades'!D51</f>
        <v>428</v>
      </c>
      <c r="C95" s="25">
        <f>('My trades'!H51-'My trades'!F51)*'My trades'!E51</f>
        <v>2.075152539</v>
      </c>
    </row>
    <row r="96" ht="12.75" customHeight="1">
      <c r="A96" s="9" t="s">
        <v>23</v>
      </c>
      <c r="B96" s="18">
        <f>'My trades'!G8-'My trades'!D8</f>
        <v>430</v>
      </c>
      <c r="C96" s="25">
        <f>('My trades'!H8-'My trades'!F8)*'My trades'!E8</f>
        <v>0.9193794561</v>
      </c>
    </row>
    <row r="97" ht="12.75" customHeight="1">
      <c r="A97" s="9" t="s">
        <v>132</v>
      </c>
      <c r="B97" s="18">
        <f>'My trades'!G88-'My trades'!D88</f>
        <v>433</v>
      </c>
      <c r="C97" s="25">
        <f>('My trades'!H88-'My trades'!F88)*'My trades'!E88</f>
        <v>0.4542755047</v>
      </c>
    </row>
    <row r="98" ht="12.75" customHeight="1">
      <c r="A98" s="9" t="s">
        <v>76</v>
      </c>
      <c r="B98" s="18">
        <f>'My trades'!G36-'My trades'!D36</f>
        <v>434</v>
      </c>
      <c r="C98" s="25">
        <f>('My trades'!H36-'My trades'!F36)*'My trades'!E36</f>
        <v>-0.6241190299</v>
      </c>
    </row>
    <row r="99" ht="12.75" customHeight="1">
      <c r="A99" s="9" t="s">
        <v>137</v>
      </c>
      <c r="B99" s="18">
        <f>'My trades'!G93-'My trades'!D93</f>
        <v>436</v>
      </c>
      <c r="C99" s="25">
        <f>('My trades'!H93-'My trades'!F93)*'My trades'!E93</f>
        <v>1.707199666</v>
      </c>
    </row>
    <row r="100" ht="12.75" customHeight="1">
      <c r="A100" s="9" t="s">
        <v>20</v>
      </c>
      <c r="B100" s="18">
        <f>'My trades'!G7-'My trades'!D7</f>
        <v>440</v>
      </c>
      <c r="C100" s="25">
        <f>('My trades'!H7-'My trades'!F7)*'My trades'!E7</f>
        <v>0.6742756379</v>
      </c>
    </row>
    <row r="101" ht="12.75" customHeight="1">
      <c r="A101" s="9" t="s">
        <v>203</v>
      </c>
      <c r="B101" s="18">
        <f>'My trades'!G159-'My trades'!D159</f>
        <v>443</v>
      </c>
      <c r="C101" s="25">
        <f>('My trades'!H159-'My trades'!F159)*'My trades'!E159</f>
        <v>0.6383594599</v>
      </c>
    </row>
    <row r="102" ht="12.75" customHeight="1">
      <c r="A102" s="9" t="s">
        <v>165</v>
      </c>
      <c r="B102" s="18">
        <f>'My trades'!G121-'My trades'!D121</f>
        <v>445</v>
      </c>
      <c r="C102" s="25">
        <f>('My trades'!H121-'My trades'!F121)*'My trades'!E121</f>
        <v>1.046745384</v>
      </c>
    </row>
    <row r="103" ht="12.75" customHeight="1">
      <c r="A103" s="9" t="s">
        <v>79</v>
      </c>
      <c r="B103" s="18">
        <f>'My trades'!G39-'My trades'!D39</f>
        <v>448</v>
      </c>
      <c r="C103" s="25">
        <f>('My trades'!H39-'My trades'!F39)*'My trades'!E39</f>
        <v>-2.225239581</v>
      </c>
    </row>
    <row r="104" ht="12.75" customHeight="1">
      <c r="A104" s="9" t="s">
        <v>14</v>
      </c>
      <c r="B104" s="18">
        <f>'My trades'!G4-'My trades'!D4</f>
        <v>449</v>
      </c>
      <c r="C104" s="25">
        <f>('My trades'!H4-'My trades'!F4)*'My trades'!E4</f>
        <v>-1.550190318</v>
      </c>
    </row>
    <row r="105" ht="12.75" customHeight="1">
      <c r="A105" s="9" t="s">
        <v>192</v>
      </c>
      <c r="B105" s="18">
        <f>'My trades'!G148-'My trades'!D148</f>
        <v>456</v>
      </c>
      <c r="C105" s="25">
        <f>('My trades'!H148-'My trades'!F148)*'My trades'!E148</f>
        <v>-4.196142458</v>
      </c>
    </row>
    <row r="106" ht="12.75" customHeight="1">
      <c r="A106" s="9" t="s">
        <v>212</v>
      </c>
      <c r="B106" s="18">
        <f>'My trades'!G168-'My trades'!D168</f>
        <v>459</v>
      </c>
      <c r="C106" s="25">
        <f>('My trades'!H168-'My trades'!F168)*'My trades'!E168</f>
        <v>0.07135427781</v>
      </c>
    </row>
    <row r="107" ht="12.75" customHeight="1">
      <c r="A107" s="9" t="s">
        <v>229</v>
      </c>
      <c r="B107" s="18">
        <f>'My trades'!G185-'My trades'!D185</f>
        <v>460</v>
      </c>
      <c r="C107" s="25">
        <f>('My trades'!H185-'My trades'!F185)*'My trades'!E185</f>
        <v>2.884916315</v>
      </c>
    </row>
    <row r="108" ht="12.75" customHeight="1">
      <c r="A108" s="9" t="s">
        <v>65</v>
      </c>
      <c r="B108" s="18">
        <f>'My trades'!G28-'My trades'!D28</f>
        <v>465</v>
      </c>
      <c r="C108" s="25">
        <f>('My trades'!H28-'My trades'!F28)*'My trades'!E28</f>
        <v>-3.853510512</v>
      </c>
    </row>
    <row r="109" ht="12.75" customHeight="1">
      <c r="A109" s="9" t="s">
        <v>114</v>
      </c>
      <c r="B109" s="18">
        <f>'My trades'!G71-'My trades'!D71</f>
        <v>467</v>
      </c>
      <c r="C109" s="25">
        <f>('My trades'!H71-'My trades'!F71)*'My trades'!E71</f>
        <v>0.470060189</v>
      </c>
    </row>
    <row r="110" ht="12.75" customHeight="1">
      <c r="A110" s="9" t="s">
        <v>183</v>
      </c>
      <c r="B110" s="18">
        <f>'My trades'!G139-'My trades'!D139</f>
        <v>469</v>
      </c>
      <c r="C110" s="25">
        <f>('My trades'!H139-'My trades'!F139)*'My trades'!E139</f>
        <v>2.60569072</v>
      </c>
    </row>
    <row r="111" ht="12.75" customHeight="1">
      <c r="A111" s="9" t="s">
        <v>245</v>
      </c>
      <c r="B111" s="18">
        <f>'My trades'!G201-'My trades'!D201</f>
        <v>476</v>
      </c>
      <c r="C111" s="25">
        <f>('My trades'!H201-'My trades'!F201)*'My trades'!E201</f>
        <v>-6.204338418</v>
      </c>
    </row>
    <row r="112" ht="12.75" customHeight="1">
      <c r="A112" s="9" t="s">
        <v>80</v>
      </c>
      <c r="B112" s="18">
        <f>'My trades'!G40-'My trades'!D40</f>
        <v>482</v>
      </c>
      <c r="C112" s="25">
        <f>('My trades'!H40-'My trades'!F40)*'My trades'!E40</f>
        <v>-4.824073539</v>
      </c>
    </row>
    <row r="113" ht="12.75" customHeight="1">
      <c r="A113" s="9" t="s">
        <v>36</v>
      </c>
      <c r="B113" s="18">
        <f>'My trades'!G13-'My trades'!D13</f>
        <v>488</v>
      </c>
      <c r="C113" s="25">
        <f>('My trades'!H13-'My trades'!F13)*'My trades'!E13</f>
        <v>1.359859503</v>
      </c>
    </row>
    <row r="114" ht="12.75" customHeight="1">
      <c r="A114" s="9" t="s">
        <v>223</v>
      </c>
      <c r="B114" s="18">
        <f>'My trades'!G179-'My trades'!D179</f>
        <v>490</v>
      </c>
      <c r="C114" s="25">
        <f>('My trades'!H179-'My trades'!F179)*'My trades'!E179</f>
        <v>0.8628392425</v>
      </c>
    </row>
    <row r="115" ht="12.75" customHeight="1">
      <c r="A115" s="9" t="s">
        <v>146</v>
      </c>
      <c r="B115" s="18">
        <f>'My trades'!G102-'My trades'!D102</f>
        <v>494</v>
      </c>
      <c r="C115" s="25">
        <f>('My trades'!H102-'My trades'!F102)*'My trades'!E102</f>
        <v>-2.722539252</v>
      </c>
    </row>
    <row r="116" ht="12.75" customHeight="1">
      <c r="A116" s="9" t="s">
        <v>72</v>
      </c>
      <c r="B116" s="18">
        <f>'My trades'!G34-'My trades'!D34</f>
        <v>499</v>
      </c>
      <c r="C116" s="25">
        <f>('My trades'!H34-'My trades'!F34)*'My trades'!E34</f>
        <v>2.997629133</v>
      </c>
    </row>
    <row r="117" ht="12.75" customHeight="1">
      <c r="A117" s="9" t="s">
        <v>226</v>
      </c>
      <c r="B117" s="18">
        <f>'My trades'!G182-'My trades'!D182</f>
        <v>501</v>
      </c>
      <c r="C117" s="25">
        <f>('My trades'!H182-'My trades'!F182)*'My trades'!E182</f>
        <v>1.659527001</v>
      </c>
    </row>
    <row r="118" ht="12.75" customHeight="1">
      <c r="A118" s="9" t="s">
        <v>118</v>
      </c>
      <c r="B118" s="18">
        <f>'My trades'!G75-'My trades'!D75</f>
        <v>510</v>
      </c>
      <c r="C118" s="25">
        <f>('My trades'!H75-'My trades'!F75)*'My trades'!E75</f>
        <v>3.678682343</v>
      </c>
    </row>
    <row r="119" ht="12.75" customHeight="1">
      <c r="A119" s="9" t="s">
        <v>67</v>
      </c>
      <c r="B119" s="18">
        <f>'My trades'!G30-'My trades'!D30</f>
        <v>513</v>
      </c>
      <c r="C119" s="25">
        <f>('My trades'!H30-'My trades'!F30)*'My trades'!E30</f>
        <v>2.432401333</v>
      </c>
    </row>
    <row r="120" ht="12.75" customHeight="1">
      <c r="A120" s="9" t="s">
        <v>91</v>
      </c>
      <c r="B120" s="18">
        <f>'My trades'!G50-'My trades'!D50</f>
        <v>524</v>
      </c>
      <c r="C120" s="25">
        <f>('My trades'!H50-'My trades'!F50)*'My trades'!E50</f>
        <v>1.814663598</v>
      </c>
    </row>
    <row r="121" ht="12.75" customHeight="1">
      <c r="A121" s="9" t="s">
        <v>239</v>
      </c>
      <c r="B121" s="18">
        <f>'My trades'!G195-'My trades'!D195</f>
        <v>526</v>
      </c>
      <c r="C121" s="25">
        <f>('My trades'!H195-'My trades'!F195)*'My trades'!E195</f>
        <v>-0.5819782586</v>
      </c>
    </row>
    <row r="122" ht="12.75" customHeight="1">
      <c r="A122" s="9" t="s">
        <v>160</v>
      </c>
      <c r="B122" s="18">
        <f>'My trades'!G116-'My trades'!D116</f>
        <v>534</v>
      </c>
      <c r="C122" s="25">
        <f>('My trades'!H116-'My trades'!F116)*'My trades'!E116</f>
        <v>-0.2463220555</v>
      </c>
    </row>
    <row r="123" ht="12.75" customHeight="1">
      <c r="A123" s="9" t="s">
        <v>186</v>
      </c>
      <c r="B123" s="18">
        <f>'My trades'!G142-'My trades'!D142</f>
        <v>539</v>
      </c>
      <c r="C123" s="25">
        <f>('My trades'!H142-'My trades'!F142)*'My trades'!E142</f>
        <v>0.5004992928</v>
      </c>
    </row>
    <row r="124" ht="12.75" customHeight="1">
      <c r="A124" s="9" t="s">
        <v>240</v>
      </c>
      <c r="B124" s="18">
        <f>'My trades'!G196-'My trades'!D196</f>
        <v>539</v>
      </c>
      <c r="C124" s="25">
        <f>('My trades'!H196-'My trades'!F196)*'My trades'!E196</f>
        <v>0.3873951777</v>
      </c>
    </row>
    <row r="125" ht="12.75" customHeight="1">
      <c r="A125" s="9" t="s">
        <v>216</v>
      </c>
      <c r="B125" s="18">
        <f>'My trades'!G172-'My trades'!D172</f>
        <v>543</v>
      </c>
      <c r="C125" s="25">
        <f>('My trades'!H172-'My trades'!F172)*'My trades'!E172</f>
        <v>-3.433017458</v>
      </c>
    </row>
    <row r="126" ht="12.75" customHeight="1">
      <c r="A126" s="9" t="s">
        <v>53</v>
      </c>
      <c r="B126" s="18">
        <f>'My trades'!G22-'My trades'!D22</f>
        <v>546</v>
      </c>
      <c r="C126" s="25">
        <f>('My trades'!H22-'My trades'!F22)*'My trades'!E22</f>
        <v>-0.6127582804</v>
      </c>
    </row>
    <row r="127" ht="12.75" customHeight="1">
      <c r="A127" s="9" t="s">
        <v>57</v>
      </c>
      <c r="B127" s="18">
        <f>'My trades'!G24-'My trades'!D24</f>
        <v>547</v>
      </c>
      <c r="C127" s="25">
        <f>('My trades'!H24-'My trades'!F24)*'My trades'!E24</f>
        <v>0.7610912775</v>
      </c>
    </row>
    <row r="128" ht="12.75" customHeight="1">
      <c r="A128" s="9" t="s">
        <v>238</v>
      </c>
      <c r="B128" s="18">
        <f>'My trades'!G194-'My trades'!D194</f>
        <v>552</v>
      </c>
      <c r="C128" s="25">
        <f>('My trades'!H194-'My trades'!F194)*'My trades'!E194</f>
        <v>0.2708660868</v>
      </c>
    </row>
    <row r="129" ht="12.75" customHeight="1">
      <c r="A129" s="9" t="s">
        <v>66</v>
      </c>
      <c r="B129" s="18">
        <f>'My trades'!G29-'My trades'!D29</f>
        <v>557</v>
      </c>
      <c r="C129" s="25">
        <f>('My trades'!H29-'My trades'!F29)*'My trades'!E29</f>
        <v>-0.07695951529</v>
      </c>
    </row>
    <row r="130" ht="12.75" customHeight="1">
      <c r="A130" s="9" t="s">
        <v>217</v>
      </c>
      <c r="B130" s="18">
        <f>'My trades'!G173-'My trades'!D173</f>
        <v>565</v>
      </c>
      <c r="C130" s="25">
        <f>('My trades'!H173-'My trades'!F173)*'My trades'!E173</f>
        <v>-0.6874313334</v>
      </c>
    </row>
    <row r="131" ht="12.75" customHeight="1">
      <c r="A131" s="9" t="s">
        <v>190</v>
      </c>
      <c r="B131" s="18">
        <f>'My trades'!G146-'My trades'!D146</f>
        <v>566</v>
      </c>
      <c r="C131" s="25">
        <f>('My trades'!H146-'My trades'!F146)*'My trades'!E146</f>
        <v>0.6703710062</v>
      </c>
    </row>
    <row r="132" ht="12.75" customHeight="1">
      <c r="A132" s="9" t="s">
        <v>121</v>
      </c>
      <c r="B132" s="18">
        <f>'My trades'!G78-'My trades'!D78</f>
        <v>568</v>
      </c>
      <c r="C132" s="25">
        <f>('My trades'!H78-'My trades'!F78)*'My trades'!E78</f>
        <v>-1.61268566</v>
      </c>
    </row>
    <row r="133" ht="12.75" customHeight="1">
      <c r="A133" s="9" t="s">
        <v>29</v>
      </c>
      <c r="B133" s="18">
        <f>'My trades'!G10-'My trades'!D10</f>
        <v>573</v>
      </c>
      <c r="C133" s="25">
        <f>('My trades'!H10-'My trades'!F10)*'My trades'!E10</f>
        <v>1.326406905</v>
      </c>
    </row>
    <row r="134" ht="12.75" customHeight="1">
      <c r="A134" s="9" t="s">
        <v>143</v>
      </c>
      <c r="B134" s="18">
        <f>'My trades'!G99-'My trades'!D99</f>
        <v>576</v>
      </c>
      <c r="C134" s="25">
        <f>('My trades'!H99-'My trades'!F99)*'My trades'!E99</f>
        <v>0.1514344893</v>
      </c>
    </row>
    <row r="135" ht="12.75" customHeight="1">
      <c r="A135" s="9" t="s">
        <v>181</v>
      </c>
      <c r="B135" s="18">
        <f>'My trades'!G137-'My trades'!D137</f>
        <v>581</v>
      </c>
      <c r="C135" s="25">
        <f>('My trades'!H137-'My trades'!F137)*'My trades'!E137</f>
        <v>5.425726213</v>
      </c>
    </row>
    <row r="136" ht="12.75" customHeight="1">
      <c r="A136" s="9" t="s">
        <v>90</v>
      </c>
      <c r="B136" s="18">
        <f>'My trades'!G49-'My trades'!D49</f>
        <v>588</v>
      </c>
      <c r="C136" s="25">
        <f>('My trades'!H49-'My trades'!F49)*'My trades'!E49</f>
        <v>-3.328620089</v>
      </c>
    </row>
    <row r="137" ht="12.75" customHeight="1">
      <c r="A137" s="9" t="s">
        <v>33</v>
      </c>
      <c r="B137" s="18">
        <f>'My trades'!G12-'My trades'!D12</f>
        <v>589</v>
      </c>
      <c r="C137" s="25">
        <f>('My trades'!H12-'My trades'!F12)*'My trades'!E12</f>
        <v>0.4793423071</v>
      </c>
    </row>
    <row r="138" ht="12.75" customHeight="1">
      <c r="A138" s="9" t="s">
        <v>230</v>
      </c>
      <c r="B138" s="18">
        <f>'My trades'!G186-'My trades'!D186</f>
        <v>589</v>
      </c>
      <c r="C138" s="25">
        <f>('My trades'!H186-'My trades'!F186)*'My trades'!E186</f>
        <v>3.510990686</v>
      </c>
    </row>
    <row r="139" ht="12.75" customHeight="1">
      <c r="A139" s="9" t="s">
        <v>242</v>
      </c>
      <c r="B139" s="18">
        <f>'My trades'!G198-'My trades'!D198</f>
        <v>593</v>
      </c>
      <c r="C139" s="25">
        <f>('My trades'!H198-'My trades'!F198)*'My trades'!E198</f>
        <v>-0.04225286513</v>
      </c>
    </row>
    <row r="140" ht="12.75" customHeight="1">
      <c r="A140" s="9" t="s">
        <v>168</v>
      </c>
      <c r="B140" s="18">
        <f>'My trades'!G124-'My trades'!D124</f>
        <v>604</v>
      </c>
      <c r="C140" s="25">
        <f>('My trades'!H124-'My trades'!F124)*'My trades'!E124</f>
        <v>-2.550125542</v>
      </c>
    </row>
    <row r="141" ht="12.75" customHeight="1">
      <c r="A141" s="9" t="s">
        <v>75</v>
      </c>
      <c r="B141" s="18">
        <f>'My trades'!G35-'My trades'!D35</f>
        <v>607</v>
      </c>
      <c r="C141" s="25">
        <f>('My trades'!H35-'My trades'!F35)*'My trades'!E35</f>
        <v>-2.75928383</v>
      </c>
    </row>
    <row r="142" ht="12.75" customHeight="1">
      <c r="A142" s="9" t="s">
        <v>100</v>
      </c>
      <c r="B142" s="18">
        <f>'My trades'!G59-'My trades'!D59</f>
        <v>609</v>
      </c>
      <c r="C142" s="25">
        <f>('My trades'!H59-'My trades'!F59)*'My trades'!E59</f>
        <v>-2.660822045</v>
      </c>
    </row>
    <row r="143" ht="12.75" customHeight="1">
      <c r="A143" s="9" t="s">
        <v>138</v>
      </c>
      <c r="B143" s="18">
        <f>'My trades'!G94-'My trades'!D94</f>
        <v>609</v>
      </c>
      <c r="C143" s="25">
        <f>('My trades'!H94-'My trades'!F94)*'My trades'!E94</f>
        <v>0.0005973918578</v>
      </c>
    </row>
    <row r="144" ht="12.75" customHeight="1">
      <c r="A144" s="9" t="s">
        <v>172</v>
      </c>
      <c r="B144" s="18">
        <f>'My trades'!G128-'My trades'!D128</f>
        <v>610</v>
      </c>
      <c r="C144" s="25">
        <f>('My trades'!H128-'My trades'!F128)*'My trades'!E128</f>
        <v>0.5058257787</v>
      </c>
    </row>
    <row r="145" ht="12.75" customHeight="1">
      <c r="A145" s="9" t="s">
        <v>93</v>
      </c>
      <c r="B145" s="18">
        <f>'My trades'!G52-'My trades'!D52</f>
        <v>615</v>
      </c>
      <c r="C145" s="25">
        <f>('My trades'!H52-'My trades'!F52)*'My trades'!E52</f>
        <v>-1.587285724</v>
      </c>
    </row>
    <row r="146" ht="12.75" customHeight="1">
      <c r="A146" s="9" t="s">
        <v>142</v>
      </c>
      <c r="B146" s="18">
        <f>'My trades'!G98-'My trades'!D98</f>
        <v>615</v>
      </c>
      <c r="C146" s="25">
        <f>('My trades'!H98-'My trades'!F98)*'My trades'!E98</f>
        <v>-1.493851456</v>
      </c>
    </row>
    <row r="147" ht="12.75" customHeight="1">
      <c r="A147" s="9" t="s">
        <v>107</v>
      </c>
      <c r="B147" s="18">
        <f>'My trades'!G64-'My trades'!D64</f>
        <v>617</v>
      </c>
      <c r="C147" s="25">
        <f>('My trades'!H64-'My trades'!F64)*'My trades'!E64</f>
        <v>-4.924257025</v>
      </c>
    </row>
    <row r="148" ht="12.75" customHeight="1">
      <c r="A148" s="9" t="s">
        <v>94</v>
      </c>
      <c r="B148" s="18">
        <f>'My trades'!G53-'My trades'!D53</f>
        <v>622</v>
      </c>
      <c r="C148" s="25">
        <f>('My trades'!H53-'My trades'!F53)*'My trades'!E53</f>
        <v>-0.3038156667</v>
      </c>
    </row>
    <row r="149" ht="12.75" customHeight="1">
      <c r="A149" s="9" t="s">
        <v>48</v>
      </c>
      <c r="B149" s="18">
        <f>'My trades'!G19-'My trades'!D19</f>
        <v>623</v>
      </c>
      <c r="C149" s="25">
        <f>('My trades'!H19-'My trades'!F19)*'My trades'!E19</f>
        <v>0.4428189873</v>
      </c>
    </row>
    <row r="150" ht="12.75" customHeight="1">
      <c r="A150" s="9" t="s">
        <v>151</v>
      </c>
      <c r="B150" s="18">
        <f>'My trades'!G107-'My trades'!D107</f>
        <v>623</v>
      </c>
      <c r="C150" s="25">
        <f>('My trades'!H107-'My trades'!F107)*'My trades'!E107</f>
        <v>-1.768155367</v>
      </c>
    </row>
    <row r="151" ht="12.75" customHeight="1">
      <c r="A151" s="9" t="s">
        <v>233</v>
      </c>
      <c r="B151" s="18">
        <f>'My trades'!G189-'My trades'!D189</f>
        <v>623</v>
      </c>
      <c r="C151" s="25">
        <f>('My trades'!H189-'My trades'!F189)*'My trades'!E189</f>
        <v>-0.7834795489</v>
      </c>
    </row>
    <row r="152" ht="12.75" customHeight="1">
      <c r="A152" s="9" t="s">
        <v>19</v>
      </c>
      <c r="B152" s="18">
        <f>'My trades'!G6-'My trades'!D6</f>
        <v>626</v>
      </c>
      <c r="C152" s="25">
        <f>('My trades'!H6-'My trades'!F6)*'My trades'!E6</f>
        <v>-3.185105269</v>
      </c>
    </row>
    <row r="153" ht="12.75" customHeight="1">
      <c r="A153" s="9" t="s">
        <v>52</v>
      </c>
      <c r="B153" s="18">
        <f>'My trades'!G21-'My trades'!D21</f>
        <v>634</v>
      </c>
      <c r="C153" s="25">
        <f>('My trades'!H21-'My trades'!F21)*'My trades'!E21</f>
        <v>0.3017044492</v>
      </c>
    </row>
    <row r="154" ht="12.75" customHeight="1">
      <c r="A154" s="9" t="s">
        <v>95</v>
      </c>
      <c r="B154" s="18">
        <f>'My trades'!G54-'My trades'!D54</f>
        <v>635</v>
      </c>
      <c r="C154" s="25">
        <f>('My trades'!H54-'My trades'!F54)*'My trades'!E54</f>
        <v>6.502131626</v>
      </c>
    </row>
    <row r="155" ht="12.75" customHeight="1">
      <c r="A155" s="9" t="s">
        <v>102</v>
      </c>
      <c r="B155" s="18">
        <f>'My trades'!G61-'My trades'!D61</f>
        <v>644</v>
      </c>
      <c r="C155" s="25">
        <f>('My trades'!H61-'My trades'!F61)*'My trades'!E61</f>
        <v>1.196463933</v>
      </c>
    </row>
    <row r="156" ht="12.75" customHeight="1">
      <c r="A156" s="9" t="s">
        <v>38</v>
      </c>
      <c r="B156" s="18">
        <f>'My trades'!G15-'My trades'!D15</f>
        <v>668</v>
      </c>
      <c r="C156" s="25">
        <f>('My trades'!H15-'My trades'!F15)*'My trades'!E15</f>
        <v>0.5236164115</v>
      </c>
    </row>
    <row r="157" ht="12.75" customHeight="1">
      <c r="A157" s="9" t="s">
        <v>177</v>
      </c>
      <c r="B157" s="18">
        <f>'My trades'!G133-'My trades'!D133</f>
        <v>669</v>
      </c>
      <c r="C157" s="25">
        <f>('My trades'!H133-'My trades'!F133)*'My trades'!E133</f>
        <v>-1.731860524</v>
      </c>
    </row>
    <row r="158" ht="12.75" customHeight="1">
      <c r="A158" s="9" t="s">
        <v>225</v>
      </c>
      <c r="B158" s="18">
        <f>'My trades'!G181-'My trades'!D181</f>
        <v>676</v>
      </c>
      <c r="C158" s="25">
        <f>('My trades'!H181-'My trades'!F181)*'My trades'!E181</f>
        <v>1.755957793</v>
      </c>
    </row>
    <row r="159" ht="12.75" customHeight="1">
      <c r="A159" s="9" t="s">
        <v>122</v>
      </c>
      <c r="B159" s="18">
        <f>'My trades'!G79-'My trades'!D79</f>
        <v>682</v>
      </c>
      <c r="C159" s="25">
        <f>('My trades'!H79-'My trades'!F79)*'My trades'!E79</f>
        <v>-2.617753636</v>
      </c>
    </row>
    <row r="160" ht="12.75" customHeight="1">
      <c r="A160" s="9" t="s">
        <v>68</v>
      </c>
      <c r="B160" s="18">
        <f>'My trades'!G31-'My trades'!D31</f>
        <v>686</v>
      </c>
      <c r="C160" s="25">
        <f>('My trades'!H31-'My trades'!F31)*'My trades'!E31</f>
        <v>0.153288537</v>
      </c>
    </row>
    <row r="161" ht="12.75" customHeight="1">
      <c r="A161" s="9" t="s">
        <v>109</v>
      </c>
      <c r="B161" s="18">
        <f>'My trades'!G66-'My trades'!D66</f>
        <v>688</v>
      </c>
      <c r="C161" s="25">
        <f>('My trades'!H66-'My trades'!F66)*'My trades'!E66</f>
        <v>-0.03069785394</v>
      </c>
    </row>
    <row r="162" ht="12.75" customHeight="1">
      <c r="A162" s="9" t="s">
        <v>178</v>
      </c>
      <c r="B162" s="18">
        <f>'My trades'!G134-'My trades'!D134</f>
        <v>694</v>
      </c>
      <c r="C162" s="25">
        <f>('My trades'!H134-'My trades'!F134)*'My trades'!E134</f>
        <v>-0.2240613961</v>
      </c>
    </row>
    <row r="163" ht="12.75" customHeight="1">
      <c r="A163" s="9" t="s">
        <v>209</v>
      </c>
      <c r="B163" s="18">
        <f>'My trades'!G165-'My trades'!D165</f>
        <v>695</v>
      </c>
      <c r="C163" s="25">
        <f>('My trades'!H165-'My trades'!F165)*'My trades'!E165</f>
        <v>-5.430709854</v>
      </c>
    </row>
    <row r="164" ht="12.75" customHeight="1">
      <c r="A164" s="9" t="s">
        <v>206</v>
      </c>
      <c r="B164" s="18">
        <f>'My trades'!G162-'My trades'!D162</f>
        <v>698</v>
      </c>
      <c r="C164" s="25">
        <f>('My trades'!H162-'My trades'!F162)*'My trades'!E162</f>
        <v>1.525589637</v>
      </c>
    </row>
    <row r="165" ht="12.75" customHeight="1">
      <c r="A165" s="9" t="s">
        <v>198</v>
      </c>
      <c r="B165" s="18">
        <f>'My trades'!G154-'My trades'!D154</f>
        <v>701</v>
      </c>
      <c r="C165" s="25">
        <f>('My trades'!H154-'My trades'!F154)*'My trades'!E154</f>
        <v>0.1345036587</v>
      </c>
    </row>
    <row r="166" ht="12.75" customHeight="1">
      <c r="A166" s="9" t="s">
        <v>105</v>
      </c>
      <c r="B166" s="18">
        <f>'My trades'!G62-'My trades'!D62</f>
        <v>705</v>
      </c>
      <c r="C166" s="25">
        <f>('My trades'!H62-'My trades'!F62)*'My trades'!E62</f>
        <v>-4.449980295</v>
      </c>
    </row>
    <row r="167" ht="12.75" customHeight="1">
      <c r="A167" s="9" t="s">
        <v>87</v>
      </c>
      <c r="B167" s="18">
        <f>'My trades'!G46-'My trades'!D46</f>
        <v>707</v>
      </c>
      <c r="C167" s="25">
        <f>('My trades'!H46-'My trades'!F46)*'My trades'!E46</f>
        <v>-5.018869795</v>
      </c>
    </row>
    <row r="168" ht="12.75" customHeight="1">
      <c r="A168" s="9" t="s">
        <v>56</v>
      </c>
      <c r="B168" s="18">
        <f>'My trades'!G23-'My trades'!D23</f>
        <v>708</v>
      </c>
      <c r="C168" s="25">
        <f>('My trades'!H23-'My trades'!F23)*'My trades'!E23</f>
        <v>-2.588546844</v>
      </c>
    </row>
    <row r="169" ht="12.75" customHeight="1">
      <c r="A169" s="9" t="s">
        <v>241</v>
      </c>
      <c r="B169" s="18">
        <f>'My trades'!G197-'My trades'!D197</f>
        <v>708</v>
      </c>
      <c r="C169" s="25">
        <f>('My trades'!H197-'My trades'!F197)*'My trades'!E197</f>
        <v>-6.533859482</v>
      </c>
    </row>
    <row r="170" ht="12.75" customHeight="1">
      <c r="A170" s="9" t="s">
        <v>224</v>
      </c>
      <c r="B170" s="18">
        <f>'My trades'!G180-'My trades'!D180</f>
        <v>712</v>
      </c>
      <c r="C170" s="25">
        <f>('My trades'!H180-'My trades'!F180)*'My trades'!E180</f>
        <v>1.109704377</v>
      </c>
    </row>
    <row r="171" ht="12.75" customHeight="1">
      <c r="A171" s="9" t="s">
        <v>124</v>
      </c>
      <c r="B171" s="18">
        <f>'My trades'!G81-'My trades'!D81</f>
        <v>714</v>
      </c>
      <c r="C171" s="25">
        <f>('My trades'!H81-'My trades'!F81)*'My trades'!E81</f>
        <v>0.6250157114</v>
      </c>
    </row>
    <row r="172" ht="12.75" customHeight="1">
      <c r="A172" s="9" t="s">
        <v>159</v>
      </c>
      <c r="B172" s="18">
        <f>'My trades'!G115-'My trades'!D115</f>
        <v>715</v>
      </c>
      <c r="C172" s="25">
        <f>('My trades'!H115-'My trades'!F115)*'My trades'!E115</f>
        <v>-4.208624828</v>
      </c>
    </row>
    <row r="173" ht="12.75" customHeight="1">
      <c r="A173" s="9" t="s">
        <v>126</v>
      </c>
      <c r="B173" s="18">
        <f>'My trades'!G83-'My trades'!D83</f>
        <v>722</v>
      </c>
      <c r="C173" s="25">
        <f>('My trades'!H83-'My trades'!F83)*'My trades'!E83</f>
        <v>1.329845065</v>
      </c>
    </row>
    <row r="174" ht="12.75" customHeight="1">
      <c r="A174" s="9" t="s">
        <v>133</v>
      </c>
      <c r="B174" s="18">
        <f>'My trades'!G89-'My trades'!D89</f>
        <v>728</v>
      </c>
      <c r="C174" s="25">
        <f>('My trades'!H89-'My trades'!F89)*'My trades'!E89</f>
        <v>-0.579648455</v>
      </c>
    </row>
    <row r="175" ht="12.75" customHeight="1">
      <c r="A175" s="9" t="s">
        <v>88</v>
      </c>
      <c r="B175" s="18">
        <f>'My trades'!G47-'My trades'!D47</f>
        <v>730</v>
      </c>
      <c r="C175" s="25">
        <f>('My trades'!H47-'My trades'!F47)*'My trades'!E47</f>
        <v>-0.3589363427</v>
      </c>
    </row>
    <row r="176" ht="12.75" customHeight="1">
      <c r="A176" s="9" t="s">
        <v>170</v>
      </c>
      <c r="B176" s="18">
        <f>'My trades'!G126-'My trades'!D126</f>
        <v>741</v>
      </c>
      <c r="C176" s="25">
        <f>('My trades'!H126-'My trades'!F126)*'My trades'!E126</f>
        <v>2.639260799</v>
      </c>
    </row>
    <row r="177" ht="12.75" customHeight="1">
      <c r="A177" s="9" t="s">
        <v>83</v>
      </c>
      <c r="B177" s="18">
        <f>'My trades'!G42-'My trades'!D42</f>
        <v>743</v>
      </c>
      <c r="C177" s="25">
        <f>('My trades'!H42-'My trades'!F42)*'My trades'!E42</f>
        <v>2.081112574</v>
      </c>
    </row>
    <row r="178" ht="12.75" customHeight="1">
      <c r="A178" s="9" t="s">
        <v>215</v>
      </c>
      <c r="B178" s="18">
        <f>'My trades'!G171-'My trades'!D171</f>
        <v>744</v>
      </c>
      <c r="C178" s="25">
        <f>('My trades'!H171-'My trades'!F171)*'My trades'!E171</f>
        <v>0.01266337494</v>
      </c>
    </row>
    <row r="179" ht="12.75" customHeight="1">
      <c r="A179" s="9" t="s">
        <v>135</v>
      </c>
      <c r="B179" s="18">
        <f>'My trades'!G91-'My trades'!D91</f>
        <v>747</v>
      </c>
      <c r="C179" s="25">
        <f>('My trades'!H91-'My trades'!F91)*'My trades'!E91</f>
        <v>1.008917334</v>
      </c>
    </row>
    <row r="180" ht="12.75" customHeight="1">
      <c r="A180" s="9" t="s">
        <v>232</v>
      </c>
      <c r="B180" s="18">
        <f>'My trades'!G188-'My trades'!D188</f>
        <v>747</v>
      </c>
      <c r="C180" s="25">
        <f>('My trades'!H188-'My trades'!F188)*'My trades'!E188</f>
        <v>0.2083266102</v>
      </c>
    </row>
    <row r="181" ht="12.75" customHeight="1">
      <c r="A181" s="9" t="s">
        <v>136</v>
      </c>
      <c r="B181" s="18">
        <f>'My trades'!G92-'My trades'!D92</f>
        <v>751</v>
      </c>
      <c r="C181" s="25">
        <f>('My trades'!H92-'My trades'!F92)*'My trades'!E92</f>
        <v>-0.8924228478</v>
      </c>
    </row>
    <row r="182" ht="12.75" customHeight="1">
      <c r="A182" s="9" t="s">
        <v>235</v>
      </c>
      <c r="B182" s="18">
        <f>'My trades'!G191-'My trades'!D191</f>
        <v>752</v>
      </c>
      <c r="C182" s="25">
        <f>('My trades'!H191-'My trades'!F191)*'My trades'!E191</f>
        <v>0.4172247658</v>
      </c>
    </row>
    <row r="183" ht="12.75" customHeight="1">
      <c r="A183" s="9" t="s">
        <v>219</v>
      </c>
      <c r="B183" s="18">
        <f>'My trades'!G175-'My trades'!D175</f>
        <v>753</v>
      </c>
      <c r="C183" s="25">
        <f>('My trades'!H175-'My trades'!F175)*'My trades'!E175</f>
        <v>-2.623088284</v>
      </c>
    </row>
    <row r="184" ht="12.75" customHeight="1">
      <c r="A184" s="9" t="s">
        <v>174</v>
      </c>
      <c r="B184" s="18">
        <f>'My trades'!G130-'My trades'!D130</f>
        <v>756</v>
      </c>
      <c r="C184" s="25">
        <f>('My trades'!H130-'My trades'!F130)*'My trades'!E130</f>
        <v>0.5868955089</v>
      </c>
    </row>
    <row r="185" ht="12.75" customHeight="1">
      <c r="A185" s="9" t="s">
        <v>180</v>
      </c>
      <c r="B185" s="18">
        <f>'My trades'!G136-'My trades'!D136</f>
        <v>756</v>
      </c>
      <c r="C185" s="25">
        <f>('My trades'!H136-'My trades'!F136)*'My trades'!E136</f>
        <v>-0.1040816045</v>
      </c>
    </row>
    <row r="186" ht="12.75" customHeight="1">
      <c r="A186" s="9" t="s">
        <v>139</v>
      </c>
      <c r="B186" s="18">
        <f>'My trades'!G95-'My trades'!D95</f>
        <v>758</v>
      </c>
      <c r="C186" s="25">
        <f>('My trades'!H95-'My trades'!F95)*'My trades'!E95</f>
        <v>-0.4417089826</v>
      </c>
    </row>
    <row r="187" ht="12.75" customHeight="1">
      <c r="A187" s="9" t="s">
        <v>45</v>
      </c>
      <c r="B187" s="18">
        <f>'My trades'!G18-'My trades'!D18</f>
        <v>762</v>
      </c>
      <c r="C187" s="25">
        <f>('My trades'!H18-'My trades'!F18)*'My trades'!E18</f>
        <v>-0.1704459279</v>
      </c>
    </row>
    <row r="188" ht="12.75" customHeight="1">
      <c r="A188" s="9" t="s">
        <v>134</v>
      </c>
      <c r="B188" s="18">
        <f>'My trades'!G90-'My trades'!D90</f>
        <v>771</v>
      </c>
      <c r="C188" s="25">
        <f>('My trades'!H90-'My trades'!F90)*'My trades'!E90</f>
        <v>0.8764495481</v>
      </c>
    </row>
    <row r="189" ht="12.75" customHeight="1">
      <c r="A189" s="9" t="s">
        <v>140</v>
      </c>
      <c r="B189" s="18">
        <f>'My trades'!G96-'My trades'!D96</f>
        <v>780</v>
      </c>
      <c r="C189" s="25">
        <f>('My trades'!H96-'My trades'!F96)*'My trades'!E96</f>
        <v>-0.5964713758</v>
      </c>
    </row>
    <row r="190" ht="12.75" customHeight="1">
      <c r="A190" s="9" t="s">
        <v>155</v>
      </c>
      <c r="B190" s="18">
        <f>'My trades'!G111-'My trades'!D111</f>
        <v>791</v>
      </c>
      <c r="C190" s="25">
        <f>('My trades'!H111-'My trades'!F111)*'My trades'!E111</f>
        <v>-3.196256783</v>
      </c>
    </row>
    <row r="191" ht="12.75" customHeight="1">
      <c r="A191" s="9" t="s">
        <v>98</v>
      </c>
      <c r="B191" s="18">
        <f>'My trades'!G57-'My trades'!D57</f>
        <v>793</v>
      </c>
      <c r="C191" s="25">
        <f>('My trades'!H57-'My trades'!F57)*'My trades'!E57</f>
        <v>2.270882215</v>
      </c>
    </row>
    <row r="192" ht="12.75" customHeight="1">
      <c r="A192" s="9" t="s">
        <v>70</v>
      </c>
      <c r="B192" s="18">
        <f>'My trades'!G33-'My trades'!D33</f>
        <v>795</v>
      </c>
      <c r="C192" s="25">
        <f>('My trades'!H33-'My trades'!F33)*'My trades'!E33</f>
        <v>5.883567653</v>
      </c>
    </row>
    <row r="193" ht="12.75" customHeight="1">
      <c r="A193" s="9" t="s">
        <v>150</v>
      </c>
      <c r="B193" s="18">
        <f>'My trades'!G106-'My trades'!D106</f>
        <v>795</v>
      </c>
      <c r="C193" s="25">
        <f>('My trades'!H106-'My trades'!F106)*'My trades'!E106</f>
        <v>0.3509003194</v>
      </c>
    </row>
    <row r="194" ht="12.75" customHeight="1">
      <c r="A194" s="9" t="s">
        <v>222</v>
      </c>
      <c r="B194" s="18">
        <f>'My trades'!G178-'My trades'!D178</f>
        <v>795</v>
      </c>
      <c r="C194" s="25">
        <f>('My trades'!H178-'My trades'!F178)*'My trades'!E178</f>
        <v>0.5801172707</v>
      </c>
    </row>
    <row r="195" ht="12.75" customHeight="1">
      <c r="A195" s="9" t="s">
        <v>188</v>
      </c>
      <c r="B195" s="18">
        <f>'My trades'!G144-'My trades'!D144</f>
        <v>806</v>
      </c>
      <c r="C195" s="25">
        <f>('My trades'!H144-'My trades'!F144)*'My trades'!E144</f>
        <v>-0.2484879528</v>
      </c>
    </row>
    <row r="196" ht="12.75" customHeight="1">
      <c r="A196" s="9" t="s">
        <v>200</v>
      </c>
      <c r="B196" s="18">
        <f>'My trades'!G156-'My trades'!D156</f>
        <v>811</v>
      </c>
      <c r="C196" s="25">
        <f>('My trades'!H156-'My trades'!F156)*'My trades'!E156</f>
        <v>2.505551803</v>
      </c>
    </row>
    <row r="197" ht="12.75" customHeight="1">
      <c r="A197" s="9" t="s">
        <v>175</v>
      </c>
      <c r="B197" s="18">
        <f>'My trades'!G131-'My trades'!D131</f>
        <v>818</v>
      </c>
      <c r="C197" s="25">
        <f>('My trades'!H131-'My trades'!F131)*'My trades'!E131</f>
        <v>7.172176335</v>
      </c>
    </row>
    <row r="198" ht="12.75" customHeight="1">
      <c r="A198" s="9" t="s">
        <v>220</v>
      </c>
      <c r="B198" s="18">
        <f>'My trades'!G176-'My trades'!D176</f>
        <v>838</v>
      </c>
      <c r="C198" s="25">
        <f>('My trades'!H176-'My trades'!F176)*'My trades'!E176</f>
        <v>-2.502222621</v>
      </c>
    </row>
    <row r="199" ht="12.75" customHeight="1">
      <c r="A199" s="9" t="s">
        <v>11</v>
      </c>
      <c r="B199" s="18">
        <f>'My trades'!G3-'My trades'!D3</f>
        <v>839</v>
      </c>
      <c r="C199" s="25">
        <f>('My trades'!H3-'My trades'!F3)*'My trades'!E3</f>
        <v>0.4968170176</v>
      </c>
    </row>
    <row r="200" ht="12.75" customHeight="1">
      <c r="A200" s="9" t="s">
        <v>77</v>
      </c>
      <c r="B200" s="18">
        <f>'My trades'!G37-'My trades'!D37</f>
        <v>851</v>
      </c>
      <c r="C200" s="25">
        <f>('My trades'!H37-'My trades'!F37)*'My trades'!E37</f>
        <v>-1.48788632</v>
      </c>
    </row>
    <row r="201" ht="12.75" customHeight="1">
      <c r="A201" s="9" t="s">
        <v>51</v>
      </c>
      <c r="B201" s="18">
        <f>'My trades'!G20-'My trades'!D20</f>
        <v>862</v>
      </c>
      <c r="C201" s="25">
        <f>('My trades'!H20-'My trades'!F20)*'My trades'!E20</f>
        <v>0.2960931447</v>
      </c>
    </row>
    <row r="202" ht="12.75" customHeight="1">
      <c r="A202" s="12"/>
    </row>
    <row r="203" ht="12.75" customHeight="1">
      <c r="A203" s="12"/>
    </row>
    <row r="204" ht="12.75" customHeight="1">
      <c r="A204" s="12"/>
    </row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C$201">
    <sortState ref="A1:C201">
      <sortCondition ref="B1:B201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88"/>
    <col customWidth="1" min="2" max="2" width="9.63"/>
    <col customWidth="1" min="3" max="3" width="16.0"/>
    <col customWidth="1" min="4" max="4" width="18.38"/>
    <col customWidth="1" min="5" max="5" width="8.5"/>
    <col customWidth="1" min="6" max="6" width="5.0"/>
    <col customWidth="1" min="7" max="14" width="2.63"/>
    <col customWidth="1" min="15" max="15" width="16.38"/>
    <col customWidth="1" min="16" max="26" width="7.63"/>
  </cols>
  <sheetData>
    <row r="1" ht="12.75" customHeight="1">
      <c r="A1" s="1" t="s">
        <v>2</v>
      </c>
      <c r="B1" s="1" t="s">
        <v>4</v>
      </c>
    </row>
    <row r="2" ht="12.75" customHeight="1">
      <c r="A2" s="5" t="s">
        <v>10</v>
      </c>
      <c r="B2" s="7">
        <v>7.0</v>
      </c>
    </row>
    <row r="3" ht="12.75" customHeight="1">
      <c r="A3" s="5" t="s">
        <v>13</v>
      </c>
      <c r="B3" s="7">
        <v>2.0</v>
      </c>
    </row>
    <row r="4" ht="12.75" customHeight="1">
      <c r="A4" s="5" t="s">
        <v>10</v>
      </c>
      <c r="B4" s="7">
        <v>6.0</v>
      </c>
    </row>
    <row r="5" ht="12.75" customHeight="1">
      <c r="A5" s="5" t="s">
        <v>18</v>
      </c>
      <c r="B5" s="7">
        <v>1.0</v>
      </c>
    </row>
    <row r="6" ht="12.75" customHeight="1">
      <c r="A6" s="5" t="s">
        <v>10</v>
      </c>
      <c r="B6" s="7">
        <v>9.0</v>
      </c>
    </row>
    <row r="7" ht="12.75" customHeight="1">
      <c r="A7" s="5" t="s">
        <v>22</v>
      </c>
      <c r="B7" s="7">
        <v>1.0</v>
      </c>
    </row>
    <row r="8" ht="12.75" customHeight="1">
      <c r="A8" s="5" t="s">
        <v>25</v>
      </c>
      <c r="B8" s="7">
        <v>3.0</v>
      </c>
    </row>
    <row r="9" ht="12.75" customHeight="1">
      <c r="A9" s="5" t="s">
        <v>28</v>
      </c>
      <c r="B9" s="7">
        <v>4.0</v>
      </c>
    </row>
    <row r="10" ht="12.75" customHeight="1">
      <c r="A10" s="5" t="s">
        <v>31</v>
      </c>
      <c r="B10" s="7">
        <v>10.0</v>
      </c>
    </row>
    <row r="11" ht="12.75" customHeight="1">
      <c r="A11" s="5" t="s">
        <v>22</v>
      </c>
      <c r="B11" s="7">
        <v>6.0</v>
      </c>
    </row>
    <row r="12" ht="12.75" customHeight="1">
      <c r="A12" s="5" t="s">
        <v>35</v>
      </c>
      <c r="B12" s="7">
        <v>5.0</v>
      </c>
    </row>
    <row r="13" ht="12.75" customHeight="1">
      <c r="A13" s="5" t="s">
        <v>10</v>
      </c>
      <c r="B13" s="7">
        <v>10.0</v>
      </c>
    </row>
    <row r="14" ht="12.75" customHeight="1">
      <c r="A14" s="5" t="s">
        <v>10</v>
      </c>
      <c r="B14" s="7">
        <v>8.0</v>
      </c>
    </row>
    <row r="15" ht="12.75" customHeight="1">
      <c r="A15" s="5" t="s">
        <v>40</v>
      </c>
      <c r="B15" s="7">
        <v>6.0</v>
      </c>
    </row>
    <row r="16" ht="12.75" customHeight="1">
      <c r="A16" s="5" t="s">
        <v>28</v>
      </c>
      <c r="B16" s="7">
        <v>6.0</v>
      </c>
    </row>
    <row r="17" ht="12.75" customHeight="1">
      <c r="A17" s="5" t="s">
        <v>44</v>
      </c>
      <c r="B17" s="7">
        <v>8.0</v>
      </c>
    </row>
    <row r="18" ht="12.75" customHeight="1">
      <c r="A18" s="5" t="s">
        <v>47</v>
      </c>
      <c r="B18" s="7">
        <v>5.0</v>
      </c>
    </row>
    <row r="19" ht="12.75" customHeight="1">
      <c r="A19" s="5" t="s">
        <v>50</v>
      </c>
      <c r="B19" s="7">
        <v>4.0</v>
      </c>
    </row>
    <row r="20" ht="12.75" customHeight="1">
      <c r="A20" s="5" t="s">
        <v>10</v>
      </c>
      <c r="B20" s="7">
        <v>1.0</v>
      </c>
    </row>
    <row r="21" ht="12.75" customHeight="1">
      <c r="A21" s="5" t="s">
        <v>44</v>
      </c>
      <c r="B21" s="7">
        <v>1.0</v>
      </c>
    </row>
    <row r="22" ht="12.75" customHeight="1">
      <c r="A22" s="5" t="s">
        <v>55</v>
      </c>
      <c r="B22" s="7">
        <v>1.0</v>
      </c>
    </row>
    <row r="23" ht="12.75" customHeight="1">
      <c r="A23" s="5" t="s">
        <v>10</v>
      </c>
      <c r="B23" s="7">
        <v>9.0</v>
      </c>
      <c r="D23" s="23" t="s">
        <v>263</v>
      </c>
      <c r="E23" s="35">
        <f>GETPIVOTDATA("Quantity",$D$1,"Region","United Kingdom","Quantity",1)/GETPIVOTDATA("Quantity",$D$1)</f>
        <v>0.005</v>
      </c>
      <c r="F23" s="36">
        <f t="shared" ref="F23:F24" si="1">E23</f>
        <v>0.005</v>
      </c>
    </row>
    <row r="24" ht="12.75" customHeight="1">
      <c r="A24" s="5" t="s">
        <v>59</v>
      </c>
      <c r="B24" s="7">
        <v>2.0</v>
      </c>
      <c r="D24" s="23" t="s">
        <v>264</v>
      </c>
      <c r="E24" s="37">
        <f>(GETPIVOTDATA("Quantity",$D$1,"Region","China","Quantity",8)+GETPIVOTDATA("Quantity",$D$1,"Region","China","Quantity",6)+GETPIVOTDATA("Quantity",$D$1,"Region","China","Quantity",5)+GETPIVOTDATA("Quantity",$D$1,"Region","China","Quantity",4)+GETPIVOTDATA("Quantity",$D$1,"Region","China","Quantity",3)+GETPIVOTDATA("Quantity",$D$1,"Region","China","Quantity",2)+GETPIVOTDATA("Quantity",$D$1,"Region","China","Quantity",1)+GETPIVOTDATA("Quantity",$D$1,"Region","Hong Kong","Quantity",7)+GETPIVOTDATA("Quantity",$D$1,"Region","Hong Kong","Quantity",6)+GETPIVOTDATA("Quantity",$D$1,"Region","Hong Kong","Quantity",5)+GETPIVOTDATA("Quantity",$D$1,"Region","India","Quantity",8)+GETPIVOTDATA("Quantity",$D$1,"Region","India","Quantity",7)+GETPIVOTDATA("Quantity",$D$1,"Region","India","Quantity",6)+GETPIVOTDATA("Quantity",$D$1,"Region","India","Quantity",5)+GETPIVOTDATA("Quantity",$D$1,"Region","India","Quantity",4)+GETPIVOTDATA("Quantity",$D$1,"Region","India","Quantity",3)+GETPIVOTDATA("Quantity",$D$1,"Region","India","Quantity",2)+GETPIVOTDATA("Quantity",$D$1,"Region","India","Quantity",1)+GETPIVOTDATA("Quantity",$D$1,"Region","Iran","Quantity",8)+GETPIVOTDATA("Quantity",$D$1,"Region","Iran","Quantity",6)+GETPIVOTDATA("Quantity",$D$1,"Region","Iran","Quantity",5)+GETPIVOTDATA("Quantity",$D$1,"Region","Iran","Quantity",4)+GETPIVOTDATA("Quantity",$D$1,"Region","Iran","Quantity",3)+GETPIVOTDATA("Quantity",$D$1,"Region","Iran","Quantity",2)+GETPIVOTDATA("Quantity",$D$1,"Region","Japan","Quantity",8)+GETPIVOTDATA("Quantity",$D$1,"Region","Japan","Quantity",6)+GETPIVOTDATA("Quantity",$D$1,"Region","Japan","Quantity",3)+GETPIVOTDATA("Quantity",$D$1,"Region","Japan","Quantity",2)+GETPIVOTDATA("Quantity",$D$1,"Region","Japan","Quantity",1)+GETPIVOTDATA("Quantity",$D$1,"Region","Saudi Arabia","Quantity",7)+GETPIVOTDATA("Quantity",$D$1,"Region","Saudi Arabia","Quantity",6)+GETPIVOTDATA("Quantity",$D$1,"Region","Saudi Arabia","Quantity",5)+GETPIVOTDATA("Quantity",$D$1,"Region","Saudi Arabia","Quantity",2)+GETPIVOTDATA("Quantity",$D$1,"Region","Saudi Arabia","Quantity",1)+GETPIVOTDATA("Quantity",$D$1,"Region","South Korea","Quantity",8)+GETPIVOTDATA("Quantity",$D$1,"Region","South Korea","Quantity",7)+GETPIVOTDATA("Quantity",$D$1,"Region","South Korea","Quantity",6)+GETPIVOTDATA("Quantity",$D$1,"Region","South Korea","Quantity",3)+GETPIVOTDATA("Quantity",$D$1,"Region","South Korea","Quantity",1)+GETPIVOTDATA("Quantity",$D$1,"Region","Taiwan","Quantity",7)+GETPIVOTDATA("Quantity",$D$1,"Region","Taiwan","Quantity",5)+GETPIVOTDATA("Quantity",$D$1,"Region","Taiwan","Quantity",4)+GETPIVOTDATA("Quantity",$D$1,"Region","Taiwan","Quantity",3))/GETPIVOTDATA("Quantity",$D$1)</f>
        <v>0.37</v>
      </c>
      <c r="F24" s="38">
        <f t="shared" si="1"/>
        <v>0.37</v>
      </c>
    </row>
    <row r="25" ht="12.75" customHeight="1">
      <c r="A25" s="5" t="s">
        <v>62</v>
      </c>
      <c r="B25" s="7">
        <v>3.0</v>
      </c>
    </row>
    <row r="26" ht="12.75" customHeight="1">
      <c r="A26" s="5" t="s">
        <v>31</v>
      </c>
      <c r="B26" s="7">
        <v>2.0</v>
      </c>
    </row>
    <row r="27" ht="12.75" customHeight="1">
      <c r="A27" s="5" t="s">
        <v>59</v>
      </c>
      <c r="B27" s="7">
        <v>8.0</v>
      </c>
    </row>
    <row r="28" ht="12.75" customHeight="1">
      <c r="A28" s="5" t="s">
        <v>25</v>
      </c>
      <c r="B28" s="7">
        <v>7.0</v>
      </c>
    </row>
    <row r="29" ht="12.75" customHeight="1">
      <c r="A29" s="5" t="s">
        <v>10</v>
      </c>
      <c r="B29" s="7">
        <v>1.0</v>
      </c>
    </row>
    <row r="30" ht="12.75" customHeight="1">
      <c r="A30" s="5" t="s">
        <v>10</v>
      </c>
      <c r="B30" s="7">
        <v>3.0</v>
      </c>
    </row>
    <row r="31" ht="12.75" customHeight="1">
      <c r="A31" s="5" t="s">
        <v>35</v>
      </c>
      <c r="B31" s="7">
        <v>1.0</v>
      </c>
    </row>
    <row r="32" ht="12.75" customHeight="1">
      <c r="A32" s="5" t="s">
        <v>55</v>
      </c>
      <c r="B32" s="7">
        <v>7.0</v>
      </c>
    </row>
    <row r="33" ht="12.75" customHeight="1">
      <c r="A33" s="5" t="s">
        <v>50</v>
      </c>
      <c r="B33" s="7">
        <v>9.0</v>
      </c>
    </row>
    <row r="34" ht="12.75" customHeight="1">
      <c r="A34" s="5" t="s">
        <v>74</v>
      </c>
      <c r="B34" s="7">
        <v>9.0</v>
      </c>
    </row>
    <row r="35" ht="12.75" customHeight="1">
      <c r="A35" s="5" t="s">
        <v>35</v>
      </c>
      <c r="B35" s="7">
        <v>5.0</v>
      </c>
    </row>
    <row r="36" ht="12.75" customHeight="1">
      <c r="A36" s="5" t="s">
        <v>18</v>
      </c>
      <c r="B36" s="7">
        <v>8.0</v>
      </c>
    </row>
    <row r="37" ht="12.75" customHeight="1">
      <c r="A37" s="5" t="s">
        <v>22</v>
      </c>
      <c r="B37" s="7">
        <v>3.0</v>
      </c>
    </row>
    <row r="38" ht="12.75" customHeight="1">
      <c r="A38" s="5" t="s">
        <v>74</v>
      </c>
      <c r="B38" s="7">
        <v>4.0</v>
      </c>
    </row>
    <row r="39" ht="12.75" customHeight="1">
      <c r="A39" s="5" t="s">
        <v>35</v>
      </c>
      <c r="B39" s="7">
        <v>3.0</v>
      </c>
    </row>
    <row r="40" ht="12.75" customHeight="1">
      <c r="A40" s="5" t="s">
        <v>62</v>
      </c>
      <c r="B40" s="7">
        <v>10.0</v>
      </c>
    </row>
    <row r="41" ht="12.75" customHeight="1">
      <c r="A41" s="5" t="s">
        <v>13</v>
      </c>
      <c r="B41" s="7">
        <v>4.0</v>
      </c>
    </row>
    <row r="42" ht="12.75" customHeight="1">
      <c r="A42" s="5" t="s">
        <v>62</v>
      </c>
      <c r="B42" s="7">
        <v>10.0</v>
      </c>
    </row>
    <row r="43" ht="12.75" customHeight="1">
      <c r="A43" s="5" t="s">
        <v>13</v>
      </c>
      <c r="B43" s="7">
        <v>10.0</v>
      </c>
    </row>
    <row r="44" ht="12.75" customHeight="1">
      <c r="A44" s="5" t="s">
        <v>44</v>
      </c>
      <c r="B44" s="7">
        <v>6.0</v>
      </c>
    </row>
    <row r="45" ht="12.75" customHeight="1">
      <c r="A45" s="5" t="s">
        <v>10</v>
      </c>
      <c r="B45" s="7">
        <v>1.0</v>
      </c>
    </row>
    <row r="46" ht="12.75" customHeight="1">
      <c r="A46" s="5" t="s">
        <v>50</v>
      </c>
      <c r="B46" s="7">
        <v>9.0</v>
      </c>
    </row>
    <row r="47" ht="12.75" customHeight="1">
      <c r="A47" s="5" t="s">
        <v>35</v>
      </c>
      <c r="B47" s="7">
        <v>6.0</v>
      </c>
    </row>
    <row r="48" ht="12.75" customHeight="1">
      <c r="A48" s="5" t="s">
        <v>47</v>
      </c>
      <c r="B48" s="7">
        <v>7.0</v>
      </c>
    </row>
    <row r="49" ht="12.75" customHeight="1">
      <c r="A49" s="5" t="s">
        <v>31</v>
      </c>
      <c r="B49" s="7">
        <v>10.0</v>
      </c>
    </row>
    <row r="50" ht="12.75" customHeight="1">
      <c r="A50" s="5" t="s">
        <v>25</v>
      </c>
      <c r="B50" s="7">
        <v>3.0</v>
      </c>
    </row>
    <row r="51" ht="12.75" customHeight="1">
      <c r="A51" s="5" t="s">
        <v>55</v>
      </c>
      <c r="B51" s="7">
        <v>9.0</v>
      </c>
    </row>
    <row r="52" ht="12.75" customHeight="1">
      <c r="A52" s="5" t="s">
        <v>62</v>
      </c>
      <c r="B52" s="7">
        <v>4.0</v>
      </c>
    </row>
    <row r="53" ht="12.75" customHeight="1">
      <c r="A53" s="5" t="s">
        <v>18</v>
      </c>
      <c r="B53" s="7">
        <v>1.0</v>
      </c>
    </row>
    <row r="54" ht="12.75" customHeight="1">
      <c r="A54" s="5" t="s">
        <v>18</v>
      </c>
      <c r="B54" s="7">
        <v>9.0</v>
      </c>
    </row>
    <row r="55" ht="12.75" customHeight="1">
      <c r="A55" s="5" t="s">
        <v>55</v>
      </c>
      <c r="B55" s="7">
        <v>2.0</v>
      </c>
    </row>
    <row r="56" ht="12.75" customHeight="1">
      <c r="A56" s="5" t="s">
        <v>25</v>
      </c>
      <c r="B56" s="7">
        <v>7.0</v>
      </c>
    </row>
    <row r="57" ht="12.75" customHeight="1">
      <c r="A57" s="5" t="s">
        <v>28</v>
      </c>
      <c r="B57" s="7">
        <v>4.0</v>
      </c>
    </row>
    <row r="58" ht="12.75" customHeight="1">
      <c r="A58" s="5" t="s">
        <v>44</v>
      </c>
      <c r="B58" s="7">
        <v>2.0</v>
      </c>
    </row>
    <row r="59" ht="12.75" customHeight="1">
      <c r="A59" s="5" t="s">
        <v>50</v>
      </c>
      <c r="B59" s="7">
        <v>4.0</v>
      </c>
    </row>
    <row r="60" ht="12.75" customHeight="1">
      <c r="A60" s="5" t="s">
        <v>35</v>
      </c>
      <c r="B60" s="7">
        <v>6.0</v>
      </c>
    </row>
    <row r="61" ht="12.75" customHeight="1">
      <c r="A61" s="5" t="s">
        <v>104</v>
      </c>
      <c r="B61" s="7">
        <v>6.0</v>
      </c>
    </row>
    <row r="62" ht="12.75" customHeight="1">
      <c r="A62" s="5" t="s">
        <v>40</v>
      </c>
      <c r="B62" s="7">
        <v>7.0</v>
      </c>
    </row>
    <row r="63" ht="12.75" customHeight="1">
      <c r="A63" s="5" t="s">
        <v>13</v>
      </c>
      <c r="B63" s="7">
        <v>8.0</v>
      </c>
    </row>
    <row r="64" ht="12.75" customHeight="1">
      <c r="A64" s="5" t="s">
        <v>59</v>
      </c>
      <c r="B64" s="7">
        <v>9.0</v>
      </c>
    </row>
    <row r="65" ht="12.75" customHeight="1">
      <c r="A65" s="5" t="s">
        <v>35</v>
      </c>
      <c r="B65" s="7">
        <v>5.0</v>
      </c>
    </row>
    <row r="66" ht="12.75" customHeight="1">
      <c r="A66" s="5" t="s">
        <v>28</v>
      </c>
      <c r="B66" s="7">
        <v>1.0</v>
      </c>
    </row>
    <row r="67" ht="12.75" customHeight="1">
      <c r="A67" s="5" t="s">
        <v>50</v>
      </c>
      <c r="B67" s="7">
        <v>2.0</v>
      </c>
    </row>
    <row r="68" ht="12.75" customHeight="1">
      <c r="A68" s="5" t="s">
        <v>59</v>
      </c>
      <c r="B68" s="7">
        <v>1.0</v>
      </c>
    </row>
    <row r="69" ht="12.75" customHeight="1">
      <c r="A69" s="5" t="s">
        <v>62</v>
      </c>
      <c r="B69" s="7">
        <v>4.0</v>
      </c>
    </row>
    <row r="70" ht="12.75" customHeight="1">
      <c r="A70" s="5" t="s">
        <v>10</v>
      </c>
      <c r="B70" s="7">
        <v>4.0</v>
      </c>
    </row>
    <row r="71" ht="12.75" customHeight="1">
      <c r="A71" s="5" t="s">
        <v>104</v>
      </c>
      <c r="B71" s="7">
        <v>5.0</v>
      </c>
    </row>
    <row r="72" ht="12.75" customHeight="1">
      <c r="A72" s="5" t="s">
        <v>62</v>
      </c>
      <c r="B72" s="7">
        <v>1.0</v>
      </c>
    </row>
    <row r="73" ht="12.75" customHeight="1">
      <c r="A73" s="5" t="s">
        <v>47</v>
      </c>
      <c r="B73" s="7">
        <v>7.0</v>
      </c>
    </row>
    <row r="74" ht="12.75" customHeight="1">
      <c r="A74" s="5" t="s">
        <v>22</v>
      </c>
      <c r="B74" s="7">
        <v>4.0</v>
      </c>
    </row>
    <row r="75" ht="12.75" customHeight="1">
      <c r="A75" s="5" t="s">
        <v>18</v>
      </c>
      <c r="B75" s="7">
        <v>6.0</v>
      </c>
    </row>
    <row r="76" ht="12.75" customHeight="1">
      <c r="A76" s="5" t="s">
        <v>59</v>
      </c>
      <c r="B76" s="7">
        <v>1.0</v>
      </c>
    </row>
    <row r="77" ht="12.75" customHeight="1">
      <c r="A77" s="5" t="s">
        <v>10</v>
      </c>
      <c r="B77" s="7">
        <v>3.0</v>
      </c>
    </row>
    <row r="78" ht="12.75" customHeight="1">
      <c r="A78" s="5" t="s">
        <v>35</v>
      </c>
      <c r="B78" s="7">
        <v>5.0</v>
      </c>
    </row>
    <row r="79" ht="12.75" customHeight="1">
      <c r="A79" s="5" t="s">
        <v>59</v>
      </c>
      <c r="B79" s="7">
        <v>3.0</v>
      </c>
    </row>
    <row r="80" ht="12.75" customHeight="1">
      <c r="A80" s="5" t="s">
        <v>74</v>
      </c>
      <c r="B80" s="7">
        <v>5.0</v>
      </c>
    </row>
    <row r="81" ht="12.75" customHeight="1">
      <c r="A81" s="5" t="s">
        <v>10</v>
      </c>
      <c r="B81" s="7">
        <v>6.0</v>
      </c>
    </row>
    <row r="82" ht="12.75" customHeight="1">
      <c r="A82" s="5" t="s">
        <v>104</v>
      </c>
      <c r="B82" s="7">
        <v>10.0</v>
      </c>
    </row>
    <row r="83" ht="12.75" customHeight="1">
      <c r="A83" s="5" t="s">
        <v>44</v>
      </c>
      <c r="B83" s="7">
        <v>8.0</v>
      </c>
    </row>
    <row r="84" ht="12.75" customHeight="1">
      <c r="A84" s="5" t="s">
        <v>50</v>
      </c>
      <c r="B84" s="7">
        <v>1.0</v>
      </c>
    </row>
    <row r="85" ht="12.75" customHeight="1">
      <c r="A85" s="5" t="s">
        <v>22</v>
      </c>
      <c r="B85" s="7">
        <v>6.0</v>
      </c>
    </row>
    <row r="86" ht="12.75" customHeight="1">
      <c r="A86" s="5" t="s">
        <v>62</v>
      </c>
      <c r="B86" s="7">
        <v>1.0</v>
      </c>
    </row>
    <row r="87" ht="12.75" customHeight="1">
      <c r="A87" s="5" t="s">
        <v>22</v>
      </c>
      <c r="B87" s="7">
        <v>6.0</v>
      </c>
    </row>
    <row r="88" ht="12.75" customHeight="1">
      <c r="A88" s="5" t="s">
        <v>104</v>
      </c>
      <c r="B88" s="7">
        <v>7.0</v>
      </c>
    </row>
    <row r="89" ht="12.75" customHeight="1">
      <c r="A89" s="5" t="s">
        <v>35</v>
      </c>
      <c r="B89" s="7">
        <v>6.0</v>
      </c>
    </row>
    <row r="90" ht="12.75" customHeight="1">
      <c r="A90" s="5" t="s">
        <v>10</v>
      </c>
      <c r="B90" s="7">
        <v>7.0</v>
      </c>
    </row>
    <row r="91" ht="12.75" customHeight="1">
      <c r="A91" s="5" t="s">
        <v>22</v>
      </c>
      <c r="B91" s="7">
        <v>10.0</v>
      </c>
    </row>
    <row r="92" ht="12.75" customHeight="1">
      <c r="A92" s="5" t="s">
        <v>10</v>
      </c>
      <c r="B92" s="7">
        <v>2.0</v>
      </c>
    </row>
    <row r="93" ht="12.75" customHeight="1">
      <c r="A93" s="5" t="s">
        <v>59</v>
      </c>
      <c r="B93" s="7">
        <v>4.0</v>
      </c>
    </row>
    <row r="94" ht="12.75" customHeight="1">
      <c r="A94" s="5" t="s">
        <v>62</v>
      </c>
      <c r="B94" s="7">
        <v>2.0</v>
      </c>
    </row>
    <row r="95" ht="12.75" customHeight="1">
      <c r="A95" s="5" t="s">
        <v>104</v>
      </c>
      <c r="B95" s="7">
        <v>5.0</v>
      </c>
    </row>
    <row r="96" ht="12.75" customHeight="1">
      <c r="A96" s="5" t="s">
        <v>22</v>
      </c>
      <c r="B96" s="7">
        <v>2.0</v>
      </c>
    </row>
    <row r="97" ht="12.75" customHeight="1">
      <c r="A97" s="5" t="s">
        <v>22</v>
      </c>
      <c r="B97" s="7">
        <v>5.0</v>
      </c>
    </row>
    <row r="98" ht="12.75" customHeight="1">
      <c r="A98" s="5" t="s">
        <v>104</v>
      </c>
      <c r="B98" s="7">
        <v>7.0</v>
      </c>
    </row>
    <row r="99" ht="12.75" customHeight="1">
      <c r="A99" s="5" t="s">
        <v>22</v>
      </c>
      <c r="B99" s="7">
        <v>4.0</v>
      </c>
    </row>
    <row r="100" ht="12.75" customHeight="1">
      <c r="A100" s="5" t="s">
        <v>10</v>
      </c>
      <c r="B100" s="7">
        <v>5.0</v>
      </c>
    </row>
    <row r="101" ht="12.75" customHeight="1">
      <c r="A101" s="5" t="s">
        <v>31</v>
      </c>
      <c r="B101" s="7">
        <v>6.0</v>
      </c>
    </row>
    <row r="102" ht="12.75" customHeight="1">
      <c r="A102" s="5" t="s">
        <v>104</v>
      </c>
      <c r="B102" s="7">
        <v>3.0</v>
      </c>
    </row>
    <row r="103" ht="12.75" customHeight="1">
      <c r="A103" s="5" t="s">
        <v>74</v>
      </c>
      <c r="B103" s="7">
        <v>10.0</v>
      </c>
    </row>
    <row r="104" ht="12.75" customHeight="1">
      <c r="A104" s="5" t="s">
        <v>40</v>
      </c>
      <c r="B104" s="7">
        <v>5.0</v>
      </c>
    </row>
    <row r="105" ht="12.75" customHeight="1">
      <c r="A105" s="5" t="s">
        <v>104</v>
      </c>
      <c r="B105" s="7">
        <v>7.0</v>
      </c>
    </row>
    <row r="106" ht="12.75" customHeight="1">
      <c r="A106" s="5" t="s">
        <v>40</v>
      </c>
      <c r="B106" s="7">
        <v>1.0</v>
      </c>
    </row>
    <row r="107" ht="12.75" customHeight="1">
      <c r="A107" s="5" t="s">
        <v>62</v>
      </c>
      <c r="B107" s="7">
        <v>10.0</v>
      </c>
    </row>
    <row r="108" ht="12.75" customHeight="1">
      <c r="A108" s="5" t="s">
        <v>59</v>
      </c>
      <c r="B108" s="7">
        <v>7.0</v>
      </c>
    </row>
    <row r="109" ht="12.75" customHeight="1">
      <c r="A109" s="5" t="s">
        <v>47</v>
      </c>
      <c r="B109" s="7">
        <v>10.0</v>
      </c>
    </row>
    <row r="110" ht="12.75" customHeight="1">
      <c r="A110" s="5" t="s">
        <v>22</v>
      </c>
      <c r="B110" s="7">
        <v>1.0</v>
      </c>
    </row>
    <row r="111" ht="12.75" customHeight="1">
      <c r="A111" s="5" t="s">
        <v>59</v>
      </c>
      <c r="B111" s="7">
        <v>7.0</v>
      </c>
    </row>
    <row r="112" ht="12.75" customHeight="1">
      <c r="A112" s="5" t="s">
        <v>18</v>
      </c>
      <c r="B112" s="7">
        <v>8.0</v>
      </c>
    </row>
    <row r="113" ht="12.75" customHeight="1">
      <c r="A113" s="5" t="s">
        <v>59</v>
      </c>
      <c r="B113" s="7">
        <v>9.0</v>
      </c>
    </row>
    <row r="114" ht="12.75" customHeight="1">
      <c r="A114" s="5" t="s">
        <v>13</v>
      </c>
      <c r="B114" s="7">
        <v>2.0</v>
      </c>
    </row>
    <row r="115" ht="12.75" customHeight="1">
      <c r="A115" s="5" t="s">
        <v>44</v>
      </c>
      <c r="B115" s="7">
        <v>9.0</v>
      </c>
    </row>
    <row r="116" ht="12.75" customHeight="1">
      <c r="A116" s="5" t="s">
        <v>25</v>
      </c>
      <c r="B116" s="7">
        <v>1.0</v>
      </c>
    </row>
    <row r="117" ht="12.75" customHeight="1">
      <c r="A117" s="5" t="s">
        <v>62</v>
      </c>
      <c r="B117" s="7">
        <v>8.0</v>
      </c>
    </row>
    <row r="118" ht="12.75" customHeight="1">
      <c r="A118" s="5" t="s">
        <v>104</v>
      </c>
      <c r="B118" s="7">
        <v>1.0</v>
      </c>
    </row>
    <row r="119" ht="12.75" customHeight="1">
      <c r="A119" s="5" t="s">
        <v>55</v>
      </c>
      <c r="B119" s="7">
        <v>4.0</v>
      </c>
    </row>
    <row r="120" ht="12.75" customHeight="1">
      <c r="A120" s="5" t="s">
        <v>10</v>
      </c>
      <c r="B120" s="7">
        <v>6.0</v>
      </c>
    </row>
    <row r="121" ht="12.75" customHeight="1">
      <c r="A121" s="5" t="s">
        <v>10</v>
      </c>
      <c r="B121" s="7">
        <v>3.0</v>
      </c>
    </row>
    <row r="122" ht="12.75" customHeight="1">
      <c r="A122" s="5" t="s">
        <v>47</v>
      </c>
      <c r="B122" s="7">
        <v>9.0</v>
      </c>
    </row>
    <row r="123" ht="12.75" customHeight="1">
      <c r="A123" s="5" t="s">
        <v>18</v>
      </c>
      <c r="B123" s="7">
        <v>10.0</v>
      </c>
    </row>
    <row r="124" ht="12.75" customHeight="1">
      <c r="A124" s="5" t="s">
        <v>35</v>
      </c>
      <c r="B124" s="7">
        <v>9.0</v>
      </c>
    </row>
    <row r="125" ht="12.75" customHeight="1">
      <c r="A125" s="5" t="s">
        <v>28</v>
      </c>
      <c r="B125" s="7">
        <v>1.0</v>
      </c>
    </row>
    <row r="126" ht="12.75" customHeight="1">
      <c r="A126" s="5" t="s">
        <v>13</v>
      </c>
      <c r="B126" s="7">
        <v>6.0</v>
      </c>
    </row>
    <row r="127" ht="12.75" customHeight="1">
      <c r="A127" s="5" t="s">
        <v>104</v>
      </c>
      <c r="B127" s="7">
        <v>8.0</v>
      </c>
    </row>
    <row r="128" ht="12.75" customHeight="1">
      <c r="A128" s="5" t="s">
        <v>59</v>
      </c>
      <c r="B128" s="7">
        <v>2.0</v>
      </c>
    </row>
    <row r="129" ht="12.75" customHeight="1">
      <c r="A129" s="5" t="s">
        <v>47</v>
      </c>
      <c r="B129" s="7">
        <v>5.0</v>
      </c>
    </row>
    <row r="130" ht="12.75" customHeight="1">
      <c r="A130" s="5" t="s">
        <v>104</v>
      </c>
      <c r="B130" s="7">
        <v>2.0</v>
      </c>
    </row>
    <row r="131" ht="12.75" customHeight="1">
      <c r="A131" s="5" t="s">
        <v>10</v>
      </c>
      <c r="B131" s="7">
        <v>10.0</v>
      </c>
    </row>
    <row r="132" ht="12.75" customHeight="1">
      <c r="A132" s="5" t="s">
        <v>74</v>
      </c>
      <c r="B132" s="7">
        <v>10.0</v>
      </c>
    </row>
    <row r="133" ht="12.75" customHeight="1">
      <c r="A133" s="5" t="s">
        <v>62</v>
      </c>
      <c r="B133" s="7">
        <v>6.0</v>
      </c>
    </row>
    <row r="134" ht="12.75" customHeight="1">
      <c r="A134" s="5" t="s">
        <v>31</v>
      </c>
      <c r="B134" s="7">
        <v>2.0</v>
      </c>
    </row>
    <row r="135" ht="12.75" customHeight="1">
      <c r="A135" s="5" t="s">
        <v>35</v>
      </c>
      <c r="B135" s="7">
        <v>2.0</v>
      </c>
    </row>
    <row r="136" ht="12.75" customHeight="1">
      <c r="A136" s="5" t="s">
        <v>62</v>
      </c>
      <c r="B136" s="7">
        <v>7.0</v>
      </c>
    </row>
    <row r="137" ht="12.75" customHeight="1">
      <c r="A137" s="5" t="s">
        <v>22</v>
      </c>
      <c r="B137" s="7">
        <v>9.0</v>
      </c>
    </row>
    <row r="138" ht="12.75" customHeight="1">
      <c r="A138" s="5" t="s">
        <v>35</v>
      </c>
      <c r="B138" s="7">
        <v>3.0</v>
      </c>
    </row>
    <row r="139" ht="12.75" customHeight="1">
      <c r="A139" s="5" t="s">
        <v>55</v>
      </c>
      <c r="B139" s="7">
        <v>6.0</v>
      </c>
    </row>
    <row r="140" ht="12.75" customHeight="1">
      <c r="A140" s="5" t="s">
        <v>74</v>
      </c>
      <c r="B140" s="7">
        <v>3.0</v>
      </c>
    </row>
    <row r="141" ht="12.75" customHeight="1">
      <c r="A141" s="5" t="s">
        <v>31</v>
      </c>
      <c r="B141" s="7">
        <v>5.0</v>
      </c>
    </row>
    <row r="142" ht="12.75" customHeight="1">
      <c r="A142" s="5" t="s">
        <v>22</v>
      </c>
      <c r="B142" s="7">
        <v>4.0</v>
      </c>
    </row>
    <row r="143" ht="12.75" customHeight="1">
      <c r="A143" s="5" t="s">
        <v>31</v>
      </c>
      <c r="B143" s="7">
        <v>5.0</v>
      </c>
    </row>
    <row r="144" ht="12.75" customHeight="1">
      <c r="A144" s="5" t="s">
        <v>50</v>
      </c>
      <c r="B144" s="7">
        <v>3.0</v>
      </c>
    </row>
    <row r="145" ht="12.75" customHeight="1">
      <c r="A145" s="5" t="s">
        <v>22</v>
      </c>
      <c r="B145" s="7">
        <v>1.0</v>
      </c>
    </row>
    <row r="146" ht="12.75" customHeight="1">
      <c r="A146" s="5" t="s">
        <v>50</v>
      </c>
      <c r="B146" s="7">
        <v>4.0</v>
      </c>
    </row>
    <row r="147" ht="12.75" customHeight="1">
      <c r="A147" s="5" t="s">
        <v>28</v>
      </c>
      <c r="B147" s="7">
        <v>10.0</v>
      </c>
    </row>
    <row r="148" ht="12.75" customHeight="1">
      <c r="A148" s="5" t="s">
        <v>55</v>
      </c>
      <c r="B148" s="7">
        <v>7.0</v>
      </c>
    </row>
    <row r="149" ht="12.75" customHeight="1">
      <c r="A149" s="5" t="s">
        <v>25</v>
      </c>
      <c r="B149" s="7">
        <v>1.0</v>
      </c>
    </row>
    <row r="150" ht="12.75" customHeight="1">
      <c r="A150" s="5" t="s">
        <v>59</v>
      </c>
      <c r="B150" s="7">
        <v>7.0</v>
      </c>
    </row>
    <row r="151" ht="12.75" customHeight="1">
      <c r="A151" s="5" t="s">
        <v>13</v>
      </c>
      <c r="B151" s="7">
        <v>3.0</v>
      </c>
    </row>
    <row r="152" ht="12.75" customHeight="1">
      <c r="A152" s="5" t="s">
        <v>104</v>
      </c>
      <c r="B152" s="7">
        <v>5.0</v>
      </c>
    </row>
    <row r="153" ht="12.75" customHeight="1">
      <c r="A153" s="5" t="s">
        <v>104</v>
      </c>
      <c r="B153" s="7">
        <v>1.0</v>
      </c>
    </row>
    <row r="154" ht="12.75" customHeight="1">
      <c r="A154" s="5" t="s">
        <v>35</v>
      </c>
      <c r="B154" s="7">
        <v>6.0</v>
      </c>
    </row>
    <row r="155" ht="12.75" customHeight="1">
      <c r="A155" s="5" t="s">
        <v>50</v>
      </c>
      <c r="B155" s="7">
        <v>8.0</v>
      </c>
    </row>
    <row r="156" ht="12.75" customHeight="1">
      <c r="A156" s="5" t="s">
        <v>50</v>
      </c>
      <c r="B156" s="7">
        <v>4.0</v>
      </c>
    </row>
    <row r="157" ht="12.75" customHeight="1">
      <c r="A157" s="5" t="s">
        <v>35</v>
      </c>
      <c r="B157" s="7">
        <v>9.0</v>
      </c>
    </row>
    <row r="158" ht="12.75" customHeight="1">
      <c r="A158" s="5" t="s">
        <v>104</v>
      </c>
      <c r="B158" s="7">
        <v>2.0</v>
      </c>
    </row>
    <row r="159" ht="12.75" customHeight="1">
      <c r="A159" s="5" t="s">
        <v>10</v>
      </c>
      <c r="B159" s="7">
        <v>2.0</v>
      </c>
    </row>
    <row r="160" ht="12.75" customHeight="1">
      <c r="A160" s="5" t="s">
        <v>10</v>
      </c>
      <c r="B160" s="7">
        <v>2.0</v>
      </c>
    </row>
    <row r="161" ht="12.75" customHeight="1">
      <c r="A161" s="5" t="s">
        <v>40</v>
      </c>
      <c r="B161" s="7">
        <v>2.0</v>
      </c>
    </row>
    <row r="162" ht="12.75" customHeight="1">
      <c r="A162" s="5" t="s">
        <v>62</v>
      </c>
      <c r="B162" s="7">
        <v>8.0</v>
      </c>
    </row>
    <row r="163" ht="12.75" customHeight="1">
      <c r="A163" s="5" t="s">
        <v>50</v>
      </c>
      <c r="B163" s="7">
        <v>5.0</v>
      </c>
    </row>
    <row r="164" ht="12.75" customHeight="1">
      <c r="A164" s="5" t="s">
        <v>31</v>
      </c>
      <c r="B164" s="7">
        <v>6.0</v>
      </c>
    </row>
    <row r="165" ht="12.75" customHeight="1">
      <c r="A165" s="5" t="s">
        <v>59</v>
      </c>
      <c r="B165" s="7">
        <v>7.0</v>
      </c>
    </row>
    <row r="166" ht="12.75" customHeight="1">
      <c r="A166" s="5" t="s">
        <v>10</v>
      </c>
      <c r="B166" s="7">
        <v>3.0</v>
      </c>
    </row>
    <row r="167" ht="12.75" customHeight="1">
      <c r="A167" s="5" t="s">
        <v>50</v>
      </c>
      <c r="B167" s="7">
        <v>4.0</v>
      </c>
    </row>
    <row r="168" ht="12.75" customHeight="1">
      <c r="A168" s="5" t="s">
        <v>22</v>
      </c>
      <c r="B168" s="7">
        <v>3.0</v>
      </c>
    </row>
    <row r="169" ht="12.75" customHeight="1">
      <c r="A169" s="5" t="s">
        <v>62</v>
      </c>
      <c r="B169" s="7">
        <v>3.0</v>
      </c>
    </row>
    <row r="170" ht="12.75" customHeight="1">
      <c r="A170" s="5" t="s">
        <v>104</v>
      </c>
      <c r="B170" s="7">
        <v>1.0</v>
      </c>
    </row>
    <row r="171" ht="12.75" customHeight="1">
      <c r="A171" s="5" t="s">
        <v>55</v>
      </c>
      <c r="B171" s="7">
        <v>2.0</v>
      </c>
    </row>
    <row r="172" ht="12.75" customHeight="1">
      <c r="A172" s="5" t="s">
        <v>25</v>
      </c>
      <c r="B172" s="7">
        <v>8.0</v>
      </c>
    </row>
    <row r="173" ht="12.75" customHeight="1">
      <c r="A173" s="5" t="s">
        <v>25</v>
      </c>
      <c r="B173" s="7">
        <v>6.0</v>
      </c>
    </row>
    <row r="174" ht="12.75" customHeight="1">
      <c r="A174" s="5" t="s">
        <v>50</v>
      </c>
      <c r="B174" s="7">
        <v>4.0</v>
      </c>
    </row>
    <row r="175" ht="12.75" customHeight="1">
      <c r="A175" s="5" t="s">
        <v>18</v>
      </c>
      <c r="B175" s="7">
        <v>6.0</v>
      </c>
    </row>
    <row r="176" ht="12.75" customHeight="1">
      <c r="A176" s="5" t="s">
        <v>44</v>
      </c>
      <c r="B176" s="7">
        <v>3.0</v>
      </c>
    </row>
    <row r="177" ht="12.75" customHeight="1">
      <c r="A177" s="5" t="s">
        <v>22</v>
      </c>
      <c r="B177" s="7">
        <v>5.0</v>
      </c>
    </row>
    <row r="178" ht="12.75" customHeight="1">
      <c r="A178" s="5" t="s">
        <v>50</v>
      </c>
      <c r="B178" s="7">
        <v>6.0</v>
      </c>
    </row>
    <row r="179" ht="12.75" customHeight="1">
      <c r="A179" s="5" t="s">
        <v>35</v>
      </c>
      <c r="B179" s="7">
        <v>7.0</v>
      </c>
    </row>
    <row r="180" ht="12.75" customHeight="1">
      <c r="A180" s="5" t="s">
        <v>62</v>
      </c>
      <c r="B180" s="7">
        <v>8.0</v>
      </c>
    </row>
    <row r="181" ht="12.75" customHeight="1">
      <c r="A181" s="5" t="s">
        <v>13</v>
      </c>
      <c r="B181" s="7">
        <v>5.0</v>
      </c>
    </row>
    <row r="182" ht="12.75" customHeight="1">
      <c r="A182" s="5" t="s">
        <v>62</v>
      </c>
      <c r="B182" s="7">
        <v>3.0</v>
      </c>
    </row>
    <row r="183" ht="12.75" customHeight="1">
      <c r="A183" s="5" t="s">
        <v>40</v>
      </c>
      <c r="B183" s="7">
        <v>5.0</v>
      </c>
    </row>
    <row r="184" ht="12.75" customHeight="1">
      <c r="A184" s="5" t="s">
        <v>40</v>
      </c>
      <c r="B184" s="7">
        <v>2.0</v>
      </c>
    </row>
    <row r="185" ht="12.75" customHeight="1">
      <c r="A185" s="5" t="s">
        <v>40</v>
      </c>
      <c r="B185" s="7">
        <v>7.0</v>
      </c>
    </row>
    <row r="186" ht="12.75" customHeight="1">
      <c r="A186" s="5" t="s">
        <v>74</v>
      </c>
      <c r="B186" s="7">
        <v>7.0</v>
      </c>
    </row>
    <row r="187" ht="12.75" customHeight="1">
      <c r="A187" s="5" t="s">
        <v>10</v>
      </c>
      <c r="B187" s="7">
        <v>1.0</v>
      </c>
    </row>
    <row r="188" ht="12.75" customHeight="1">
      <c r="A188" s="5" t="s">
        <v>28</v>
      </c>
      <c r="B188" s="7">
        <v>5.0</v>
      </c>
    </row>
    <row r="189" ht="12.75" customHeight="1">
      <c r="A189" s="5" t="s">
        <v>44</v>
      </c>
      <c r="B189" s="7">
        <v>6.0</v>
      </c>
    </row>
    <row r="190" ht="12.75" customHeight="1">
      <c r="A190" s="5" t="s">
        <v>35</v>
      </c>
      <c r="B190" s="7">
        <v>3.0</v>
      </c>
    </row>
    <row r="191" ht="12.75" customHeight="1">
      <c r="A191" s="5" t="s">
        <v>10</v>
      </c>
      <c r="B191" s="7">
        <v>2.0</v>
      </c>
    </row>
    <row r="192" ht="12.75" customHeight="1">
      <c r="A192" s="5" t="s">
        <v>47</v>
      </c>
      <c r="B192" s="7">
        <v>6.0</v>
      </c>
    </row>
    <row r="193" ht="12.75" customHeight="1">
      <c r="A193" s="5" t="s">
        <v>50</v>
      </c>
      <c r="B193" s="7">
        <v>6.0</v>
      </c>
    </row>
    <row r="194" ht="12.75" customHeight="1">
      <c r="A194" s="5" t="s">
        <v>50</v>
      </c>
      <c r="B194" s="7">
        <v>1.0</v>
      </c>
    </row>
    <row r="195" ht="12.75" customHeight="1">
      <c r="A195" s="5" t="s">
        <v>28</v>
      </c>
      <c r="B195" s="7">
        <v>3.0</v>
      </c>
    </row>
    <row r="196" ht="12.75" customHeight="1">
      <c r="A196" s="5" t="s">
        <v>59</v>
      </c>
      <c r="B196" s="7">
        <v>2.0</v>
      </c>
    </row>
    <row r="197" ht="12.75" customHeight="1">
      <c r="A197" s="5" t="s">
        <v>104</v>
      </c>
      <c r="B197" s="7">
        <v>10.0</v>
      </c>
    </row>
    <row r="198" ht="12.75" customHeight="1">
      <c r="A198" s="5" t="s">
        <v>47</v>
      </c>
      <c r="B198" s="7">
        <v>5.0</v>
      </c>
    </row>
    <row r="199" ht="12.75" customHeight="1">
      <c r="A199" s="5" t="s">
        <v>59</v>
      </c>
      <c r="B199" s="7">
        <v>6.0</v>
      </c>
    </row>
    <row r="200" ht="12.75" customHeight="1">
      <c r="A200" s="5" t="s">
        <v>74</v>
      </c>
      <c r="B200" s="7">
        <v>9.0</v>
      </c>
    </row>
    <row r="201" ht="12.75" customHeight="1">
      <c r="A201" s="5" t="s">
        <v>59</v>
      </c>
      <c r="B201" s="7">
        <v>8.0</v>
      </c>
    </row>
    <row r="202" ht="12.75" customHeight="1">
      <c r="A202" s="8"/>
      <c r="B202" s="8"/>
    </row>
    <row r="203" ht="12.75" customHeight="1">
      <c r="A203" s="8"/>
      <c r="B203" s="8"/>
    </row>
    <row r="204" ht="12.75" customHeight="1">
      <c r="A204" s="8"/>
      <c r="B204" s="8"/>
    </row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A$204"/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2023-05-26T15:43:04Z</dcterms:created>
</cp:coreProperties>
</file>